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39fe3f402f42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盘看板" sheetId="1" r:id="Rc66d1ee32ef743d3"/>
    <x:sheet xmlns:r="http://schemas.openxmlformats.org/officeDocument/2006/relationships" name="模块归因" sheetId="2" r:id="Rb0db516f0f1c4d2b"/>
    <x:sheet xmlns:r="http://schemas.openxmlformats.org/officeDocument/2006/relationships" name="日趋势" sheetId="3" r:id="Rab134e68021c4f26"/>
    <x:sheet xmlns:r="http://schemas.openxmlformats.org/officeDocument/2006/relationships" name="原始数据" sheetId="4" r:id="R918ac818d1a24ec9"/>
    <x:sheet xmlns:r="http://schemas.openxmlformats.org/officeDocument/2006/relationships" name="口径说明" sheetId="5" r:id="Rcb76be8a705b4e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#,##0"/>
    <x:numFmt numFmtId="202" formatCode="0.0"/>
    <x:numFmt numFmtId="203" formatCode="0.0%"/>
    <x:numFmt numFmtId="204" formatCode="0.00"/>
    <x:numFmt numFmtId="205" formatCode="mm-dd"/>
    <x:numFmt numFmtId="206" formatCode="0.00%"/>
  </x:numFmts>
  <x:fonts count="2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803C"/>
      <x:name val="Carlito"/>
    </x:font>
    <x:font>
      <x:b/>
      <x:sz val="11"/>
      <x:color rgb="FFC0392B"/>
      <x:name val="Carlito"/>
    </x:font>
    <x:font>
      <x:b/>
      <x:sz val="18"/>
      <x:color rgb="FFFFFFFF"/>
      <x:name val="Carlito"/>
    </x:font>
    <x:font>
      <x:i/>
      <x:sz val="10"/>
      <x:color rgb="FF36556F"/>
      <x:name val="Carlito"/>
    </x:font>
    <x:font>
      <x:b/>
      <x:sz val="10"/>
      <x:color rgb="FF4A5568"/>
      <x:name val="Carlito"/>
    </x:font>
    <x:font>
      <x:b/>
      <x:sz val="20"/>
      <x:color rgb="FF1D70B8"/>
      <x:name val="Carlito"/>
    </x:font>
    <x:font>
      <x:b/>
      <x:sz val="20"/>
      <x:color rgb="FFC0392B"/>
      <x:name val="Carlito"/>
    </x:font>
    <x:font>
      <x:b/>
      <x:sz val="20"/>
      <x:color rgb="FF16803C"/>
      <x:name val="Carlito"/>
    </x:font>
    <x:font>
      <x:b/>
      <x:sz val="20"/>
      <x:color rgb="FFB7791F"/>
      <x:name val="Carlito"/>
    </x:font>
    <x:font>
      <x:b/>
      <x:sz val="11"/>
      <x:color rgb="FF12355B"/>
      <x:name val="Carlito"/>
    </x:font>
    <x:font>
      <x:b/>
      <x:sz val="13"/>
      <x:color rgb="FFB7791F"/>
      <x:name val="Carlito"/>
    </x:font>
    <x:font>
      <x:sz val="11"/>
      <x:color rgb="FF5B4A20"/>
      <x:name val="Carlito"/>
    </x:font>
    <x:font>
      <x:b/>
      <x:sz val="18"/>
      <x:color rgb="FFFFFFFF"/>
      <x:name val="Aptos"/>
    </x:font>
    <x:font>
      <x:i/>
      <x:sz val="10"/>
      <x:color rgb="FF36556F"/>
      <x:name val="Aptos"/>
    </x:font>
    <x:font>
      <x:sz val="11"/>
      <x:name val="Aptos"/>
    </x:font>
    <x:font>
      <x:b/>
      <x:sz val="10"/>
      <x:color rgb="FF4A5568"/>
      <x:name val="Aptos"/>
    </x:font>
    <x:font>
      <x:b/>
      <x:sz val="20"/>
      <x:color rgb="FF1D70B8"/>
      <x:name val="Aptos"/>
    </x:font>
    <x:font>
      <x:b/>
      <x:sz val="20"/>
      <x:color rgb="FFC0392B"/>
      <x:name val="Aptos"/>
    </x:font>
    <x:font>
      <x:b/>
      <x:sz val="20"/>
      <x:color rgb="FF16803C"/>
      <x:name val="Aptos"/>
    </x:font>
    <x:font>
      <x:b/>
      <x:sz val="20"/>
      <x:color rgb="FFB7791F"/>
      <x:name val="Aptos"/>
    </x:font>
    <x:font>
      <x:b/>
      <x:sz val="11"/>
      <x:color rgb="FF12355B"/>
      <x:name val="Aptos"/>
    </x:font>
    <x:font>
      <x:b/>
      <x:sz val="11"/>
      <x:color rgb="FFFFFFFF"/>
      <x:name val="Aptos"/>
    </x:font>
    <x:font>
      <x:b/>
      <x:sz val="11"/>
      <x:color rgb="FF16803C"/>
      <x:name val="Aptos"/>
    </x:font>
    <x:font>
      <x:b/>
      <x:sz val="11"/>
      <x:color rgb="FFC0392B"/>
      <x:name val="Aptos"/>
    </x:font>
    <x:font>
      <x:b/>
      <x:sz val="13"/>
      <x:color rgb="FFB7791F"/>
      <x:name val="Aptos"/>
    </x:font>
    <x:font>
      <x:sz val="11"/>
      <x:color rgb="FF5B4A20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2355B"/>
      </x:patternFill>
    </x:fill>
    <x:fill>
      <x:patternFill patternType="solid">
        <x:fgColor rgb="FFEAF3FA"/>
      </x:patternFill>
    </x:fill>
    <x:fill>
      <x:patternFill patternType="solid">
        <x:fgColor rgb="FFF4F6F8"/>
      </x:patternFill>
    </x:fill>
    <x:fill>
      <x:patternFill patternType="solid">
        <x:fgColor rgb="FFFFFFFF"/>
      </x:patternFill>
    </x:fill>
    <x:fill>
      <x:patternFill patternType="solid">
        <x:fgColor rgb="FF1D70B8"/>
      </x:patternFill>
    </x:fill>
    <x:fill>
      <x:patternFill patternType="solid">
        <x:fgColor rgb="FFE8F5EA"/>
      </x:patternFill>
    </x:fill>
    <x:fill>
      <x:patternFill patternType="solid">
        <x:fgColor rgb="FFFCEBEA"/>
      </x:patternFill>
    </x:fill>
    <x:fill>
      <x:patternFill patternType="solid">
        <x:fgColor rgb="FFFFF8E8"/>
      </x:patternFill>
    </x:fill>
  </x:fills>
  <x:borders count="18">
    <x:border/>
    <x:border>
      <x:left style="thin">
        <x:color rgb="FFD7DEE7"/>
      </x:left>
      <x:top style="thin">
        <x:color rgb="FFD7DEE7"/>
      </x:top>
      <x:bottom style="thin">
        <x:color rgb="FFD7DEE7"/>
      </x:bottom>
    </x:border>
    <x:border>
      <x:top style="thin">
        <x:color rgb="FFD7DEE7"/>
      </x:top>
      <x:bottom style="thin">
        <x:color rgb="FFD7DEE7"/>
      </x:bottom>
    </x:border>
    <x:border>
      <x:right style="thin">
        <x:color rgb="FFD7DEE7"/>
      </x:right>
      <x:top style="thin">
        <x:color rgb="FFD7DEE7"/>
      </x:top>
      <x:bottom style="thin">
        <x:color rgb="FFD7DEE7"/>
      </x:bottom>
    </x:border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left style="thin">
        <x:color rgb="FFE8D8A7"/>
      </x:left>
      <x:top style="thin">
        <x:color rgb="FFE8D8A7"/>
      </x:top>
    </x:border>
    <x:border>
      <x:top style="thin">
        <x:color rgb="FFE8D8A7"/>
      </x:top>
    </x:border>
    <x:border>
      <x:right style="thin">
        <x:color rgb="FFE8D8A7"/>
      </x:right>
      <x:top style="thin">
        <x:color rgb="FFE8D8A7"/>
      </x:top>
    </x:border>
    <x:border>
      <x:left style="thin">
        <x:color rgb="FFE8D8A7"/>
      </x:left>
    </x:border>
    <x:border>
      <x:right style="thin">
        <x:color rgb="FFE8D8A7"/>
      </x:right>
    </x:border>
    <x:border>
      <x:left style="thin">
        <x:color rgb="FFE8D8A7"/>
      </x:left>
      <x:bottom style="thin">
        <x:color rgb="FFE8D8A7"/>
      </x:bottom>
    </x:border>
    <x:border>
      <x:bottom style="thin">
        <x:color rgb="FFE8D8A7"/>
      </x:bottom>
    </x:border>
    <x:border>
      <x:right style="thin">
        <x:color rgb="FFE8D8A7"/>
      </x:right>
      <x:bottom style="thin">
        <x:color rgb="FFE8D8A7"/>
      </x:bottom>
    </x:border>
  </x:borders>
  <x:cellStyleXfs count="1">
    <x:xf numFmtId="0" fontId="0" fillId="0" borderId="0"/>
  </x:cellStyleXfs>
  <x:cellXfs count="2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4" fontId="2" fillId="0" borderId="0" xfId="0" applyNumberFormat="1" applyFont="1" applyFill="1" applyBorder="1"/>
    <x:xf numFmtId="204" fontId="3" fillId="0" borderId="0" xfId="0" applyNumberFormat="1" applyFont="1" applyFill="1" applyBorder="1"/>
    <x:xf numFmtId="205" fontId="0" fillId="0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1" xfId="0" applyNumberFormat="1" applyFont="1" applyFill="1" applyBorder="1" applyAlignment="1">
      <x:alignment horizontal="center"/>
    </x:xf>
    <x:xf numFmtId="0" fontId="6" fillId="4" borderId="2" xfId="0" applyNumberFormat="1" applyFont="1" applyFill="1" applyBorder="1" applyAlignment="1">
      <x:alignment horizontal="center"/>
    </x:xf>
    <x:xf numFmtId="0" fontId="6" fillId="4" borderId="3" xfId="0" applyNumberFormat="1" applyFont="1" applyFill="1" applyBorder="1" applyAlignment="1">
      <x:alignment horizont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4" borderId="3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4" xfId="0" applyNumberFormat="1" applyFont="1" applyFill="1" applyBorder="1"/>
    <x:xf numFmtId="0" fontId="7" fillId="5" borderId="5" xfId="0" applyNumberFormat="1" applyFont="1" applyFill="1" applyBorder="1"/>
    <x:xf numFmtId="0" fontId="7" fillId="5" borderId="6" xfId="0" applyNumberFormat="1" applyFont="1" applyFill="1" applyBorder="1"/>
    <x:xf numFmtId="0" fontId="7" fillId="5" borderId="7" xfId="0" applyNumberFormat="1" applyFont="1" applyFill="1" applyBorder="1"/>
    <x:xf numFmtId="0" fontId="7" fillId="5" borderId="8" xfId="0" applyNumberFormat="1" applyFont="1" applyFill="1" applyBorder="1"/>
    <x:xf numFmtId="0" fontId="7" fillId="5" borderId="9" xfId="0" applyNumberFormat="1" applyFont="1" applyFill="1" applyBorder="1"/>
    <x:xf numFmtId="203" fontId="7" fillId="5" borderId="4" xfId="0" applyNumberFormat="1" applyFont="1" applyFill="1" applyBorder="1"/>
    <x:xf numFmtId="203" fontId="7" fillId="5" borderId="5" xfId="0" applyNumberFormat="1" applyFont="1" applyFill="1" applyBorder="1"/>
    <x:xf numFmtId="203" fontId="7" fillId="5" borderId="6" xfId="0" applyNumberFormat="1" applyFont="1" applyFill="1" applyBorder="1"/>
    <x:xf numFmtId="203" fontId="7" fillId="5" borderId="7" xfId="0" applyNumberFormat="1" applyFont="1" applyFill="1" applyBorder="1"/>
    <x:xf numFmtId="203" fontId="7" fillId="5" borderId="8" xfId="0" applyNumberFormat="1" applyFont="1" applyFill="1" applyBorder="1"/>
    <x:xf numFmtId="203" fontId="7" fillId="5" borderId="9" xfId="0" applyNumberFormat="1" applyFont="1" applyFill="1" applyBorder="1"/>
    <x:xf numFmtId="203" fontId="7" fillId="5" borderId="4" xfId="0" applyNumberFormat="1" applyFont="1" applyFill="1" applyBorder="1" applyAlignment="1">
      <x:alignment horizontal="center"/>
    </x:xf>
    <x:xf numFmtId="203" fontId="7" fillId="5" borderId="5" xfId="0" applyNumberFormat="1" applyFont="1" applyFill="1" applyBorder="1" applyAlignment="1">
      <x:alignment horizontal="center"/>
    </x:xf>
    <x:xf numFmtId="203" fontId="7" fillId="5" borderId="6" xfId="0" applyNumberFormat="1" applyFont="1" applyFill="1" applyBorder="1" applyAlignment="1">
      <x:alignment horizontal="center"/>
    </x:xf>
    <x:xf numFmtId="203" fontId="7" fillId="5" borderId="7" xfId="0" applyNumberFormat="1" applyFont="1" applyFill="1" applyBorder="1" applyAlignment="1">
      <x:alignment horizontal="center"/>
    </x:xf>
    <x:xf numFmtId="203" fontId="7" fillId="5" borderId="8" xfId="0" applyNumberFormat="1" applyFont="1" applyFill="1" applyBorder="1" applyAlignment="1">
      <x:alignment horizontal="center"/>
    </x:xf>
    <x:xf numFmtId="203" fontId="7" fillId="5" borderId="9" xfId="0" applyNumberFormat="1" applyFont="1" applyFill="1" applyBorder="1" applyAlignment="1">
      <x:alignment horizontal="center"/>
    </x:xf>
    <x:xf numFmtId="203" fontId="7" fillId="5" borderId="4" xfId="0" applyNumberFormat="1" applyFont="1" applyFill="1" applyBorder="1" applyAlignment="1">
      <x:alignment horizontal="center" vertical="center"/>
    </x:xf>
    <x:xf numFmtId="203" fontId="7" fillId="5" borderId="5" xfId="0" applyNumberFormat="1" applyFont="1" applyFill="1" applyBorder="1" applyAlignment="1">
      <x:alignment horizontal="center" vertical="center"/>
    </x:xf>
    <x:xf numFmtId="203" fontId="7" fillId="5" borderId="6" xfId="0" applyNumberFormat="1" applyFont="1" applyFill="1" applyBorder="1" applyAlignment="1">
      <x:alignment horizontal="center" vertical="center"/>
    </x:xf>
    <x:xf numFmtId="203" fontId="7" fillId="5" borderId="7" xfId="0" applyNumberFormat="1" applyFont="1" applyFill="1" applyBorder="1" applyAlignment="1">
      <x:alignment horizontal="center" vertical="center"/>
    </x:xf>
    <x:xf numFmtId="203" fontId="7" fillId="5" borderId="8" xfId="0" applyNumberFormat="1" applyFont="1" applyFill="1" applyBorder="1" applyAlignment="1">
      <x:alignment horizontal="center" vertical="center"/>
    </x:xf>
    <x:xf numFmtId="203" fontId="7" fillId="5" borderId="9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4" xfId="0" applyNumberFormat="1" applyFont="1" applyFill="1" applyBorder="1"/>
    <x:xf numFmtId="0" fontId="8" fillId="5" borderId="5" xfId="0" applyNumberFormat="1" applyFont="1" applyFill="1" applyBorder="1"/>
    <x:xf numFmtId="0" fontId="8" fillId="5" borderId="6" xfId="0" applyNumberFormat="1" applyFont="1" applyFill="1" applyBorder="1"/>
    <x:xf numFmtId="0" fontId="8" fillId="5" borderId="7" xfId="0" applyNumberFormat="1" applyFont="1" applyFill="1" applyBorder="1"/>
    <x:xf numFmtId="0" fontId="8" fillId="5" borderId="8" xfId="0" applyNumberFormat="1" applyFont="1" applyFill="1" applyBorder="1"/>
    <x:xf numFmtId="0" fontId="8" fillId="5" borderId="9" xfId="0" applyNumberFormat="1" applyFont="1" applyFill="1" applyBorder="1"/>
    <x:xf numFmtId="203" fontId="8" fillId="5" borderId="4" xfId="0" applyNumberFormat="1" applyFont="1" applyFill="1" applyBorder="1"/>
    <x:xf numFmtId="203" fontId="8" fillId="5" borderId="5" xfId="0" applyNumberFormat="1" applyFont="1" applyFill="1" applyBorder="1"/>
    <x:xf numFmtId="203" fontId="8" fillId="5" borderId="6" xfId="0" applyNumberFormat="1" applyFont="1" applyFill="1" applyBorder="1"/>
    <x:xf numFmtId="203" fontId="8" fillId="5" borderId="7" xfId="0" applyNumberFormat="1" applyFont="1" applyFill="1" applyBorder="1"/>
    <x:xf numFmtId="203" fontId="8" fillId="5" borderId="8" xfId="0" applyNumberFormat="1" applyFont="1" applyFill="1" applyBorder="1"/>
    <x:xf numFmtId="203" fontId="8" fillId="5" borderId="9" xfId="0" applyNumberFormat="1" applyFont="1" applyFill="1" applyBorder="1"/>
    <x:xf numFmtId="203" fontId="8" fillId="5" borderId="4" xfId="0" applyNumberFormat="1" applyFont="1" applyFill="1" applyBorder="1" applyAlignment="1">
      <x:alignment horizontal="center"/>
    </x:xf>
    <x:xf numFmtId="203" fontId="8" fillId="5" borderId="5" xfId="0" applyNumberFormat="1" applyFont="1" applyFill="1" applyBorder="1" applyAlignment="1">
      <x:alignment horizontal="center"/>
    </x:xf>
    <x:xf numFmtId="203" fontId="8" fillId="5" borderId="6" xfId="0" applyNumberFormat="1" applyFont="1" applyFill="1" applyBorder="1" applyAlignment="1">
      <x:alignment horizontal="center"/>
    </x:xf>
    <x:xf numFmtId="203" fontId="8" fillId="5" borderId="7" xfId="0" applyNumberFormat="1" applyFont="1" applyFill="1" applyBorder="1" applyAlignment="1">
      <x:alignment horizontal="center"/>
    </x:xf>
    <x:xf numFmtId="203" fontId="8" fillId="5" borderId="8" xfId="0" applyNumberFormat="1" applyFont="1" applyFill="1" applyBorder="1" applyAlignment="1">
      <x:alignment horizontal="center"/>
    </x:xf>
    <x:xf numFmtId="203" fontId="8" fillId="5" borderId="9" xfId="0" applyNumberFormat="1" applyFont="1" applyFill="1" applyBorder="1" applyAlignment="1">
      <x:alignment horizontal="center"/>
    </x:xf>
    <x:xf numFmtId="203" fontId="8" fillId="5" borderId="4" xfId="0" applyNumberFormat="1" applyFont="1" applyFill="1" applyBorder="1" applyAlignment="1">
      <x:alignment horizontal="center" vertical="center"/>
    </x:xf>
    <x:xf numFmtId="203" fontId="8" fillId="5" borderId="5" xfId="0" applyNumberFormat="1" applyFont="1" applyFill="1" applyBorder="1" applyAlignment="1">
      <x:alignment horizontal="center" vertical="center"/>
    </x:xf>
    <x:xf numFmtId="203" fontId="8" fillId="5" borderId="6" xfId="0" applyNumberFormat="1" applyFont="1" applyFill="1" applyBorder="1" applyAlignment="1">
      <x:alignment horizontal="center" vertical="center"/>
    </x:xf>
    <x:xf numFmtId="203" fontId="8" fillId="5" borderId="7" xfId="0" applyNumberFormat="1" applyFont="1" applyFill="1" applyBorder="1" applyAlignment="1">
      <x:alignment horizontal="center" vertical="center"/>
    </x:xf>
    <x:xf numFmtId="203" fontId="8" fillId="5" borderId="8" xfId="0" applyNumberFormat="1" applyFont="1" applyFill="1" applyBorder="1" applyAlignment="1">
      <x:alignment horizontal="center" vertical="center"/>
    </x:xf>
    <x:xf numFmtId="203" fontId="8" fillId="5" borderId="9" xfId="0" applyNumberFormat="1" applyFont="1" applyFill="1" applyBorder="1" applyAlignment="1">
      <x:alignment horizontal="center" vertical="center"/>
    </x:xf>
    <x:xf numFmtId="206" fontId="8" fillId="5" borderId="4" xfId="0" applyNumberFormat="1" applyFont="1" applyFill="1" applyBorder="1" applyAlignment="1">
      <x:alignment horizontal="center" vertical="center"/>
    </x:xf>
    <x:xf numFmtId="206" fontId="8" fillId="5" borderId="5" xfId="0" applyNumberFormat="1" applyFont="1" applyFill="1" applyBorder="1" applyAlignment="1">
      <x:alignment horizontal="center" vertical="center"/>
    </x:xf>
    <x:xf numFmtId="206" fontId="8" fillId="5" borderId="6" xfId="0" applyNumberFormat="1" applyFont="1" applyFill="1" applyBorder="1" applyAlignment="1">
      <x:alignment horizontal="center" vertical="center"/>
    </x:xf>
    <x:xf numFmtId="206" fontId="8" fillId="5" borderId="7" xfId="0" applyNumberFormat="1" applyFont="1" applyFill="1" applyBorder="1" applyAlignment="1">
      <x:alignment horizontal="center" vertical="center"/>
    </x:xf>
    <x:xf numFmtId="206" fontId="8" fillId="5" borderId="8" xfId="0" applyNumberFormat="1" applyFont="1" applyFill="1" applyBorder="1" applyAlignment="1">
      <x:alignment horizontal="center" vertical="center"/>
    </x:xf>
    <x:xf numFmtId="206" fontId="8" fillId="5" borderId="9" xfId="0" applyNumberFormat="1" applyFont="1" applyFill="1" applyBorder="1" applyAlignment="1">
      <x:alignment horizontal="center" vertical="center"/>
    </x:xf>
    <x:xf numFmtId="0" fontId="9" fillId="5" borderId="0" xfId="0" applyNumberFormat="1" applyFont="1" applyFill="1" applyBorder="1"/>
    <x:xf numFmtId="0" fontId="9" fillId="5" borderId="4" xfId="0" applyNumberFormat="1" applyFont="1" applyFill="1" applyBorder="1"/>
    <x:xf numFmtId="0" fontId="9" fillId="5" borderId="5" xfId="0" applyNumberFormat="1" applyFont="1" applyFill="1" applyBorder="1"/>
    <x:xf numFmtId="0" fontId="9" fillId="5" borderId="6" xfId="0" applyNumberFormat="1" applyFont="1" applyFill="1" applyBorder="1"/>
    <x:xf numFmtId="0" fontId="9" fillId="5" borderId="7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203" fontId="9" fillId="5" borderId="4" xfId="0" applyNumberFormat="1" applyFont="1" applyFill="1" applyBorder="1"/>
    <x:xf numFmtId="203" fontId="9" fillId="5" borderId="5" xfId="0" applyNumberFormat="1" applyFont="1" applyFill="1" applyBorder="1"/>
    <x:xf numFmtId="203" fontId="9" fillId="5" borderId="6" xfId="0" applyNumberFormat="1" applyFont="1" applyFill="1" applyBorder="1"/>
    <x:xf numFmtId="203" fontId="9" fillId="5" borderId="7" xfId="0" applyNumberFormat="1" applyFont="1" applyFill="1" applyBorder="1"/>
    <x:xf numFmtId="203" fontId="9" fillId="5" borderId="8" xfId="0" applyNumberFormat="1" applyFont="1" applyFill="1" applyBorder="1"/>
    <x:xf numFmtId="203" fontId="9" fillId="5" borderId="9" xfId="0" applyNumberFormat="1" applyFont="1" applyFill="1" applyBorder="1"/>
    <x:xf numFmtId="203" fontId="9" fillId="5" borderId="4" xfId="0" applyNumberFormat="1" applyFont="1" applyFill="1" applyBorder="1" applyAlignment="1">
      <x:alignment horizontal="center"/>
    </x:xf>
    <x:xf numFmtId="203" fontId="9" fillId="5" borderId="5" xfId="0" applyNumberFormat="1" applyFont="1" applyFill="1" applyBorder="1" applyAlignment="1">
      <x:alignment horizontal="center"/>
    </x:xf>
    <x:xf numFmtId="203" fontId="9" fillId="5" borderId="6" xfId="0" applyNumberFormat="1" applyFont="1" applyFill="1" applyBorder="1" applyAlignment="1">
      <x:alignment horizontal="center"/>
    </x:xf>
    <x:xf numFmtId="203" fontId="9" fillId="5" borderId="7" xfId="0" applyNumberFormat="1" applyFont="1" applyFill="1" applyBorder="1" applyAlignment="1">
      <x:alignment horizontal="center"/>
    </x:xf>
    <x:xf numFmtId="203" fontId="9" fillId="5" borderId="8" xfId="0" applyNumberFormat="1" applyFont="1" applyFill="1" applyBorder="1" applyAlignment="1">
      <x:alignment horizontal="center"/>
    </x:xf>
    <x:xf numFmtId="203" fontId="9" fillId="5" borderId="9" xfId="0" applyNumberFormat="1" applyFont="1" applyFill="1" applyBorder="1" applyAlignment="1">
      <x:alignment horizontal="center"/>
    </x:xf>
    <x:xf numFmtId="203" fontId="9" fillId="5" borderId="4" xfId="0" applyNumberFormat="1" applyFont="1" applyFill="1" applyBorder="1" applyAlignment="1">
      <x:alignment horizontal="center" vertical="center"/>
    </x:xf>
    <x:xf numFmtId="203" fontId="9" fillId="5" borderId="5" xfId="0" applyNumberFormat="1" applyFont="1" applyFill="1" applyBorder="1" applyAlignment="1">
      <x:alignment horizontal="center" vertical="center"/>
    </x:xf>
    <x:xf numFmtId="203" fontId="9" fillId="5" borderId="6" xfId="0" applyNumberFormat="1" applyFont="1" applyFill="1" applyBorder="1" applyAlignment="1">
      <x:alignment horizontal="center" vertical="center"/>
    </x:xf>
    <x:xf numFmtId="203" fontId="9" fillId="5" borderId="7" xfId="0" applyNumberFormat="1" applyFont="1" applyFill="1" applyBorder="1" applyAlignment="1">
      <x:alignment horizontal="center" vertical="center"/>
    </x:xf>
    <x:xf numFmtId="203" fontId="9" fillId="5" borderId="8" xfId="0" applyNumberFormat="1" applyFont="1" applyFill="1" applyBorder="1" applyAlignment="1">
      <x:alignment horizontal="center" vertical="center"/>
    </x:xf>
    <x:xf numFmtId="203" fontId="9" fillId="5" borderId="9" xfId="0" applyNumberFormat="1" applyFont="1" applyFill="1" applyBorder="1" applyAlignment="1">
      <x:alignment horizontal="center" vertical="center"/>
    </x:xf>
    <x:xf numFmtId="206" fontId="9" fillId="5" borderId="4" xfId="0" applyNumberFormat="1" applyFont="1" applyFill="1" applyBorder="1" applyAlignment="1">
      <x:alignment horizontal="center" vertical="center"/>
    </x:xf>
    <x:xf numFmtId="206" fontId="9" fillId="5" borderId="5" xfId="0" applyNumberFormat="1" applyFont="1" applyFill="1" applyBorder="1" applyAlignment="1">
      <x:alignment horizontal="center" vertical="center"/>
    </x:xf>
    <x:xf numFmtId="206" fontId="9" fillId="5" borderId="6" xfId="0" applyNumberFormat="1" applyFont="1" applyFill="1" applyBorder="1" applyAlignment="1">
      <x:alignment horizontal="center" vertical="center"/>
    </x:xf>
    <x:xf numFmtId="206" fontId="9" fillId="5" borderId="7" xfId="0" applyNumberFormat="1" applyFont="1" applyFill="1" applyBorder="1" applyAlignment="1">
      <x:alignment horizontal="center" vertical="center"/>
    </x:xf>
    <x:xf numFmtId="206" fontId="9" fillId="5" borderId="8" xfId="0" applyNumberFormat="1" applyFont="1" applyFill="1" applyBorder="1" applyAlignment="1">
      <x:alignment horizontal="center" vertical="center"/>
    </x:xf>
    <x:xf numFmtId="206" fontId="9" fillId="5" borderId="9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10" fillId="5" borderId="4" xfId="0" applyNumberFormat="1" applyFont="1" applyFill="1" applyBorder="1"/>
    <x:xf numFmtId="0" fontId="10" fillId="5" borderId="6" xfId="0" applyNumberFormat="1" applyFont="1" applyFill="1" applyBorder="1"/>
    <x:xf numFmtId="0" fontId="10" fillId="5" borderId="7" xfId="0" applyNumberFormat="1" applyFont="1" applyFill="1" applyBorder="1"/>
    <x:xf numFmtId="0" fontId="10" fillId="5" borderId="9" xfId="0" applyNumberFormat="1" applyFont="1" applyFill="1" applyBorder="1"/>
    <x:xf numFmtId="203" fontId="10" fillId="5" borderId="4" xfId="0" applyNumberFormat="1" applyFont="1" applyFill="1" applyBorder="1"/>
    <x:xf numFmtId="203" fontId="10" fillId="5" borderId="6" xfId="0" applyNumberFormat="1" applyFont="1" applyFill="1" applyBorder="1"/>
    <x:xf numFmtId="203" fontId="10" fillId="5" borderId="7" xfId="0" applyNumberFormat="1" applyFont="1" applyFill="1" applyBorder="1"/>
    <x:xf numFmtId="203" fontId="10" fillId="5" borderId="9" xfId="0" applyNumberFormat="1" applyFont="1" applyFill="1" applyBorder="1"/>
    <x:xf numFmtId="203" fontId="10" fillId="5" borderId="4" xfId="0" applyNumberFormat="1" applyFont="1" applyFill="1" applyBorder="1" applyAlignment="1">
      <x:alignment horizontal="center"/>
    </x:xf>
    <x:xf numFmtId="203" fontId="10" fillId="5" borderId="6" xfId="0" applyNumberFormat="1" applyFont="1" applyFill="1" applyBorder="1" applyAlignment="1">
      <x:alignment horizontal="center"/>
    </x:xf>
    <x:xf numFmtId="203" fontId="10" fillId="5" borderId="7" xfId="0" applyNumberFormat="1" applyFont="1" applyFill="1" applyBorder="1" applyAlignment="1">
      <x:alignment horizontal="center"/>
    </x:xf>
    <x:xf numFmtId="203" fontId="10" fillId="5" borderId="9" xfId="0" applyNumberFormat="1" applyFont="1" applyFill="1" applyBorder="1" applyAlignment="1">
      <x:alignment horizontal="center"/>
    </x:xf>
    <x:xf numFmtId="203" fontId="10" fillId="5" borderId="4" xfId="0" applyNumberFormat="1" applyFont="1" applyFill="1" applyBorder="1" applyAlignment="1">
      <x:alignment horizontal="center" vertical="center"/>
    </x:xf>
    <x:xf numFmtId="203" fontId="10" fillId="5" borderId="6" xfId="0" applyNumberFormat="1" applyFont="1" applyFill="1" applyBorder="1" applyAlignment="1">
      <x:alignment horizontal="center" vertical="center"/>
    </x:xf>
    <x:xf numFmtId="203" fontId="10" fillId="5" borderId="7" xfId="0" applyNumberFormat="1" applyFont="1" applyFill="1" applyBorder="1" applyAlignment="1">
      <x:alignment horizontal="center" vertical="center"/>
    </x:xf>
    <x:xf numFmtId="203" fontId="10" fillId="5" borderId="9" xfId="0" applyNumberFormat="1" applyFont="1" applyFill="1" applyBorder="1" applyAlignment="1">
      <x:alignment horizontal="center" vertical="center"/>
    </x:xf>
    <x:xf numFmtId="206" fontId="10" fillId="5" borderId="4" xfId="0" applyNumberFormat="1" applyFont="1" applyFill="1" applyBorder="1" applyAlignment="1">
      <x:alignment horizontal="center" vertical="center"/>
    </x:xf>
    <x:xf numFmtId="206" fontId="10" fillId="5" borderId="6" xfId="0" applyNumberFormat="1" applyFont="1" applyFill="1" applyBorder="1" applyAlignment="1">
      <x:alignment horizontal="center" vertical="center"/>
    </x:xf>
    <x:xf numFmtId="206" fontId="10" fillId="5" borderId="7" xfId="0" applyNumberFormat="1" applyFont="1" applyFill="1" applyBorder="1" applyAlignment="1">
      <x:alignment horizontal="center" vertical="center"/>
    </x:xf>
    <x:xf numFmtId="206" fontId="10" fillId="5" borderId="9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horizontal="left"/>
    </x:xf>
    <x:xf numFmtId="0" fontId="11" fillId="3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204" fontId="0" fillId="7" borderId="0" xfId="0" applyNumberFormat="1" applyFont="1" applyFill="1" applyBorder="1"/>
    <x:xf numFmtId="204" fontId="2" fillId="7" borderId="0" xfId="0" applyNumberFormat="1" applyFont="1" applyFill="1" applyBorder="1"/>
    <x:xf numFmtId="204" fontId="0" fillId="8" borderId="0" xfId="0" applyNumberFormat="1" applyFont="1" applyFill="1" applyBorder="1"/>
    <x:xf numFmtId="204" fontId="3" fillId="8" borderId="0" xfId="0" applyNumberFormat="1" applyFont="1" applyFill="1" applyBorder="1"/>
    <x:xf numFmtId="0" fontId="12" fillId="5" borderId="0" xfId="0" applyNumberFormat="1" applyFont="1" applyFill="1" applyBorder="1"/>
    <x:xf numFmtId="203" fontId="12" fillId="5" borderId="0" xfId="0" applyNumberFormat="1" applyFont="1" applyFill="1" applyBorder="1"/>
    <x:xf numFmtId="203" fontId="12" fillId="5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3" fillId="9" borderId="0" xfId="0" applyNumberFormat="1" applyFont="1" applyFill="1" applyBorder="1"/>
    <x:xf numFmtId="0" fontId="13" fillId="9" borderId="10" xfId="0" applyNumberFormat="1" applyFont="1" applyFill="1" applyBorder="1"/>
    <x:xf numFmtId="0" fontId="13" fillId="9" borderId="11" xfId="0" applyNumberFormat="1" applyFont="1" applyFill="1" applyBorder="1"/>
    <x:xf numFmtId="0" fontId="13" fillId="9" borderId="12" xfId="0" applyNumberFormat="1" applyFont="1" applyFill="1" applyBorder="1"/>
    <x:xf numFmtId="0" fontId="13" fillId="9" borderId="13" xfId="0" applyNumberFormat="1" applyFont="1" applyFill="1" applyBorder="1"/>
    <x:xf numFmtId="0" fontId="13" fillId="9" borderId="14" xfId="0" applyNumberFormat="1" applyFont="1" applyFill="1" applyBorder="1"/>
    <x:xf numFmtId="0" fontId="13" fillId="9" borderId="15" xfId="0" applyNumberFormat="1" applyFont="1" applyFill="1" applyBorder="1"/>
    <x:xf numFmtId="0" fontId="13" fillId="9" borderId="16" xfId="0" applyNumberFormat="1" applyFont="1" applyFill="1" applyBorder="1"/>
    <x:xf numFmtId="0" fontId="13" fillId="9" borderId="17" xfId="0" applyNumberFormat="1" applyFont="1" applyFill="1" applyBorder="1"/>
    <x:xf numFmtId="0" fontId="13" fillId="9" borderId="10" xfId="0" applyNumberFormat="1" applyFont="1" applyFill="1" applyBorder="1" applyAlignment="1">
      <x:alignment wrapText="1"/>
    </x:xf>
    <x:xf numFmtId="0" fontId="13" fillId="9" borderId="11" xfId="0" applyNumberFormat="1" applyFont="1" applyFill="1" applyBorder="1" applyAlignment="1">
      <x:alignment wrapText="1"/>
    </x:xf>
    <x:xf numFmtId="0" fontId="13" fillId="9" borderId="12" xfId="0" applyNumberFormat="1" applyFont="1" applyFill="1" applyBorder="1" applyAlignment="1">
      <x:alignment wrapText="1"/>
    </x:xf>
    <x:xf numFmtId="0" fontId="13" fillId="9" borderId="13" xfId="0" applyNumberFormat="1" applyFont="1" applyFill="1" applyBorder="1" applyAlignment="1">
      <x:alignment wrapText="1"/>
    </x:xf>
    <x:xf numFmtId="0" fontId="13" fillId="9" borderId="0" xfId="0" applyNumberFormat="1" applyFont="1" applyFill="1" applyBorder="1" applyAlignment="1">
      <x:alignment wrapText="1"/>
    </x:xf>
    <x:xf numFmtId="0" fontId="13" fillId="9" borderId="14" xfId="0" applyNumberFormat="1" applyFont="1" applyFill="1" applyBorder="1" applyAlignment="1">
      <x:alignment wrapText="1"/>
    </x:xf>
    <x:xf numFmtId="0" fontId="13" fillId="9" borderId="15" xfId="0" applyNumberFormat="1" applyFont="1" applyFill="1" applyBorder="1" applyAlignment="1">
      <x:alignment wrapText="1"/>
    </x:xf>
    <x:xf numFmtId="0" fontId="13" fillId="9" borderId="16" xfId="0" applyNumberFormat="1" applyFont="1" applyFill="1" applyBorder="1" applyAlignment="1">
      <x:alignment wrapText="1"/>
    </x:xf>
    <x:xf numFmtId="0" fontId="13" fillId="9" borderId="17" xfId="0" applyNumberFormat="1" applyFont="1" applyFill="1" applyBorder="1" applyAlignment="1">
      <x:alignment wrapText="1"/>
    </x:xf>
    <x:xf numFmtId="0" fontId="13" fillId="9" borderId="10" xfId="0" applyNumberFormat="1" applyFont="1" applyFill="1" applyBorder="1" applyAlignment="1">
      <x:alignment vertical="top" wrapText="1"/>
    </x:xf>
    <x:xf numFmtId="0" fontId="13" fillId="9" borderId="11" xfId="0" applyNumberFormat="1" applyFont="1" applyFill="1" applyBorder="1" applyAlignment="1">
      <x:alignment vertical="top" wrapText="1"/>
    </x:xf>
    <x:xf numFmtId="0" fontId="13" fillId="9" borderId="12" xfId="0" applyNumberFormat="1" applyFont="1" applyFill="1" applyBorder="1" applyAlignment="1">
      <x:alignment vertical="top" wrapText="1"/>
    </x:xf>
    <x:xf numFmtId="0" fontId="13" fillId="9" borderId="13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13" fillId="9" borderId="14" xfId="0" applyNumberFormat="1" applyFont="1" applyFill="1" applyBorder="1" applyAlignment="1">
      <x:alignment vertical="top" wrapText="1"/>
    </x:xf>
    <x:xf numFmtId="0" fontId="13" fillId="9" borderId="15" xfId="0" applyNumberFormat="1" applyFont="1" applyFill="1" applyBorder="1" applyAlignment="1">
      <x:alignment vertical="top" wrapText="1"/>
    </x:xf>
    <x:xf numFmtId="0" fontId="13" fillId="9" borderId="16" xfId="0" applyNumberFormat="1" applyFont="1" applyFill="1" applyBorder="1" applyAlignment="1">
      <x:alignment vertical="top" wrapText="1"/>
    </x:xf>
    <x:xf numFmtId="0" fontId="13" fillId="9" borderId="17" xfId="0" applyNumberFormat="1" applyFont="1" applyFill="1" applyBorder="1" applyAlignment="1">
      <x:alignment vertical="top"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4" borderId="1" xfId="0" applyNumberFormat="1" applyFont="1" applyFill="1" applyBorder="1" applyAlignment="1">
      <x:alignment horizontal="center" vertical="center"/>
    </x:xf>
    <x:xf numFmtId="0" fontId="17" fillId="4" borderId="2" xfId="0" applyNumberFormat="1" applyFont="1" applyFill="1" applyBorder="1" applyAlignment="1">
      <x:alignment horizontal="center" vertical="center"/>
    </x:xf>
    <x:xf numFmtId="0" fontId="17" fillId="4" borderId="3" xfId="0" applyNumberFormat="1" applyFont="1" applyFill="1" applyBorder="1" applyAlignment="1">
      <x:alignment horizontal="center" vertical="center"/>
    </x:xf>
    <x:xf numFmtId="203" fontId="18" fillId="5" borderId="4" xfId="0" applyNumberFormat="1" applyFont="1" applyFill="1" applyBorder="1" applyAlignment="1">
      <x:alignment horizontal="center" vertical="center"/>
    </x:xf>
    <x:xf numFmtId="203" fontId="18" fillId="5" borderId="5" xfId="0" applyNumberFormat="1" applyFont="1" applyFill="1" applyBorder="1" applyAlignment="1">
      <x:alignment horizontal="center" vertical="center"/>
    </x:xf>
    <x:xf numFmtId="203" fontId="18" fillId="5" borderId="6" xfId="0" applyNumberFormat="1" applyFont="1" applyFill="1" applyBorder="1" applyAlignment="1">
      <x:alignment horizontal="center" vertical="center"/>
    </x:xf>
    <x:xf numFmtId="203" fontId="19" fillId="5" borderId="4" xfId="0" applyNumberFormat="1" applyFont="1" applyFill="1" applyBorder="1" applyAlignment="1">
      <x:alignment horizontal="center" vertical="center"/>
    </x:xf>
    <x:xf numFmtId="203" fontId="19" fillId="5" borderId="5" xfId="0" applyNumberFormat="1" applyFont="1" applyFill="1" applyBorder="1" applyAlignment="1">
      <x:alignment horizontal="center" vertical="center"/>
    </x:xf>
    <x:xf numFmtId="203" fontId="19" fillId="5" borderId="6" xfId="0" applyNumberFormat="1" applyFont="1" applyFill="1" applyBorder="1" applyAlignment="1">
      <x:alignment horizontal="center" vertical="center"/>
    </x:xf>
    <x:xf numFmtId="206" fontId="19" fillId="5" borderId="4" xfId="0" applyNumberFormat="1" applyFont="1" applyFill="1" applyBorder="1" applyAlignment="1">
      <x:alignment horizontal="center" vertical="center"/>
    </x:xf>
    <x:xf numFmtId="206" fontId="19" fillId="5" borderId="5" xfId="0" applyNumberFormat="1" applyFont="1" applyFill="1" applyBorder="1" applyAlignment="1">
      <x:alignment horizontal="center" vertical="center"/>
    </x:xf>
    <x:xf numFmtId="206" fontId="19" fillId="5" borderId="6" xfId="0" applyNumberFormat="1" applyFont="1" applyFill="1" applyBorder="1" applyAlignment="1">
      <x:alignment horizontal="center" vertical="center"/>
    </x:xf>
    <x:xf numFmtId="206" fontId="20" fillId="5" borderId="4" xfId="0" applyNumberFormat="1" applyFont="1" applyFill="1" applyBorder="1" applyAlignment="1">
      <x:alignment horizontal="center" vertical="center"/>
    </x:xf>
    <x:xf numFmtId="206" fontId="20" fillId="5" borderId="5" xfId="0" applyNumberFormat="1" applyFont="1" applyFill="1" applyBorder="1" applyAlignment="1">
      <x:alignment horizontal="center" vertical="center"/>
    </x:xf>
    <x:xf numFmtId="206" fontId="20" fillId="5" borderId="6" xfId="0" applyNumberFormat="1" applyFont="1" applyFill="1" applyBorder="1" applyAlignment="1">
      <x:alignment horizontal="center" vertical="center"/>
    </x:xf>
    <x:xf numFmtId="206" fontId="21" fillId="5" borderId="4" xfId="0" applyNumberFormat="1" applyFont="1" applyFill="1" applyBorder="1" applyAlignment="1">
      <x:alignment horizontal="center" vertical="center"/>
    </x:xf>
    <x:xf numFmtId="206" fontId="21" fillId="5" borderId="6" xfId="0" applyNumberFormat="1" applyFont="1" applyFill="1" applyBorder="1" applyAlignment="1">
      <x:alignment horizontal="center" vertical="center"/>
    </x:xf>
    <x:xf numFmtId="203" fontId="18" fillId="5" borderId="7" xfId="0" applyNumberFormat="1" applyFont="1" applyFill="1" applyBorder="1" applyAlignment="1">
      <x:alignment horizontal="center" vertical="center"/>
    </x:xf>
    <x:xf numFmtId="203" fontId="18" fillId="5" borderId="8" xfId="0" applyNumberFormat="1" applyFont="1" applyFill="1" applyBorder="1" applyAlignment="1">
      <x:alignment horizontal="center" vertical="center"/>
    </x:xf>
    <x:xf numFmtId="203" fontId="18" fillId="5" borderId="9" xfId="0" applyNumberFormat="1" applyFont="1" applyFill="1" applyBorder="1" applyAlignment="1">
      <x:alignment horizontal="center" vertical="center"/>
    </x:xf>
    <x:xf numFmtId="203" fontId="19" fillId="5" borderId="7" xfId="0" applyNumberFormat="1" applyFont="1" applyFill="1" applyBorder="1" applyAlignment="1">
      <x:alignment horizontal="center" vertical="center"/>
    </x:xf>
    <x:xf numFmtId="203" fontId="19" fillId="5" borderId="8" xfId="0" applyNumberFormat="1" applyFont="1" applyFill="1" applyBorder="1" applyAlignment="1">
      <x:alignment horizontal="center" vertical="center"/>
    </x:xf>
    <x:xf numFmtId="203" fontId="19" fillId="5" borderId="9" xfId="0" applyNumberFormat="1" applyFont="1" applyFill="1" applyBorder="1" applyAlignment="1">
      <x:alignment horizontal="center" vertical="center"/>
    </x:xf>
    <x:xf numFmtId="206" fontId="19" fillId="5" borderId="7" xfId="0" applyNumberFormat="1" applyFont="1" applyFill="1" applyBorder="1" applyAlignment="1">
      <x:alignment horizontal="center" vertical="center"/>
    </x:xf>
    <x:xf numFmtId="206" fontId="19" fillId="5" borderId="8" xfId="0" applyNumberFormat="1" applyFont="1" applyFill="1" applyBorder="1" applyAlignment="1">
      <x:alignment horizontal="center" vertical="center"/>
    </x:xf>
    <x:xf numFmtId="206" fontId="19" fillId="5" borderId="9" xfId="0" applyNumberFormat="1" applyFont="1" applyFill="1" applyBorder="1" applyAlignment="1">
      <x:alignment horizontal="center" vertical="center"/>
    </x:xf>
    <x:xf numFmtId="206" fontId="20" fillId="5" borderId="7" xfId="0" applyNumberFormat="1" applyFont="1" applyFill="1" applyBorder="1" applyAlignment="1">
      <x:alignment horizontal="center" vertical="center"/>
    </x:xf>
    <x:xf numFmtId="206" fontId="20" fillId="5" borderId="8" xfId="0" applyNumberFormat="1" applyFont="1" applyFill="1" applyBorder="1" applyAlignment="1">
      <x:alignment horizontal="center" vertical="center"/>
    </x:xf>
    <x:xf numFmtId="206" fontId="20" fillId="5" borderId="9" xfId="0" applyNumberFormat="1" applyFont="1" applyFill="1" applyBorder="1" applyAlignment="1">
      <x:alignment horizontal="center" vertical="center"/>
    </x:xf>
    <x:xf numFmtId="206" fontId="21" fillId="5" borderId="7" xfId="0" applyNumberFormat="1" applyFont="1" applyFill="1" applyBorder="1" applyAlignment="1">
      <x:alignment horizontal="center" vertical="center"/>
    </x:xf>
    <x:xf numFmtId="206" fontId="21" fillId="5" borderId="9" xfId="0" applyNumberFormat="1" applyFont="1" applyFill="1" applyBorder="1" applyAlignment="1">
      <x:alignment horizontal="center" vertical="center"/>
    </x:xf>
    <x:xf numFmtId="0" fontId="22" fillId="3" borderId="0" xfId="0" applyNumberFormat="1" applyFont="1" applyFill="1" applyBorder="1" applyAlignment="1">
      <x:alignment horizontal="left" vertical="center"/>
    </x:xf>
    <x:xf numFmtId="0" fontId="23" fillId="6" borderId="0" xfId="0" applyNumberFormat="1" applyFont="1" applyFill="1" applyBorder="1" applyAlignment="1">
      <x:alignment horizontal="center"/>
    </x:xf>
    <x:xf numFmtId="203" fontId="16" fillId="0" borderId="0" xfId="0" applyNumberFormat="1" applyFont="1" applyFill="1" applyBorder="1"/>
    <x:xf numFmtId="204" fontId="24" fillId="7" borderId="0" xfId="0" applyNumberFormat="1" applyFont="1" applyFill="1" applyBorder="1"/>
    <x:xf numFmtId="201" fontId="16" fillId="0" borderId="0" xfId="0" applyNumberFormat="1" applyFont="1" applyFill="1" applyBorder="1"/>
    <x:xf numFmtId="204" fontId="25" fillId="8" borderId="0" xfId="0" applyNumberFormat="1" applyFont="1" applyFill="1" applyBorder="1"/>
    <x:xf numFmtId="203" fontId="26" fillId="5" borderId="0" xfId="0" applyNumberFormat="1" applyFont="1" applyFill="1" applyBorder="1" applyAlignment="1">
      <x:alignment horizontal="center"/>
    </x:xf>
    <x:xf numFmtId="0" fontId="27" fillId="9" borderId="10" xfId="0" applyNumberFormat="1" applyFont="1" applyFill="1" applyBorder="1" applyAlignment="1">
      <x:alignment vertical="top" wrapText="1"/>
    </x:xf>
    <x:xf numFmtId="0" fontId="27" fillId="9" borderId="11" xfId="0" applyNumberFormat="1" applyFont="1" applyFill="1" applyBorder="1" applyAlignment="1">
      <x:alignment vertical="top" wrapText="1"/>
    </x:xf>
    <x:xf numFmtId="0" fontId="27" fillId="9" borderId="12" xfId="0" applyNumberFormat="1" applyFont="1" applyFill="1" applyBorder="1" applyAlignment="1">
      <x:alignment vertical="top" wrapText="1"/>
    </x:xf>
    <x:xf numFmtId="0" fontId="27" fillId="9" borderId="13" xfId="0" applyNumberFormat="1" applyFont="1" applyFill="1" applyBorder="1" applyAlignment="1">
      <x:alignment vertical="top" wrapText="1"/>
    </x:xf>
    <x:xf numFmtId="0" fontId="27" fillId="9" borderId="0" xfId="0" applyNumberFormat="1" applyFont="1" applyFill="1" applyBorder="1" applyAlignment="1">
      <x:alignment vertical="top" wrapText="1"/>
    </x:xf>
    <x:xf numFmtId="0" fontId="27" fillId="9" borderId="14" xfId="0" applyNumberFormat="1" applyFont="1" applyFill="1" applyBorder="1" applyAlignment="1">
      <x:alignment vertical="top" wrapText="1"/>
    </x:xf>
    <x:xf numFmtId="0" fontId="27" fillId="9" borderId="15" xfId="0" applyNumberFormat="1" applyFont="1" applyFill="1" applyBorder="1" applyAlignment="1">
      <x:alignment vertical="top" wrapText="1"/>
    </x:xf>
    <x:xf numFmtId="0" fontId="27" fillId="9" borderId="16" xfId="0" applyNumberFormat="1" applyFont="1" applyFill="1" applyBorder="1" applyAlignment="1">
      <x:alignment vertical="top" wrapText="1"/>
    </x:xf>
    <x:xf numFmtId="0" fontId="27" fillId="9" borderId="17" xfId="0" applyNumberFormat="1" applyFont="1" applyFill="1" applyBorder="1" applyAlignment="1">
      <x:alignment vertical="top" wrapText="1"/>
    </x:xf>
    <x:xf numFmtId="204" fontId="16" fillId="0" borderId="0" xfId="0" applyNumberFormat="1" applyFont="1" applyFill="1" applyBorder="1"/>
    <x:xf numFmtId="0" fontId="14" fillId="2" borderId="0" xfId="0" applyNumberFormat="1" applyFont="1" applyFill="1" applyBorder="1" applyAlignment="1">
      <x:alignment horizontal="left" vertical="center" wrapText="1"/>
    </x:xf>
    <x:xf numFmtId="0" fontId="15" fillId="3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wrapText="1"/>
    </x:xf>
    <x:xf numFmtId="0" fontId="17" fillId="4" borderId="1" xfId="0" applyNumberFormat="1" applyFont="1" applyFill="1" applyBorder="1" applyAlignment="1">
      <x:alignment horizontal="center" vertical="center" wrapText="1"/>
    </x:xf>
    <x:xf numFmtId="0" fontId="17" fillId="4" borderId="2" xfId="0" applyNumberFormat="1" applyFont="1" applyFill="1" applyBorder="1" applyAlignment="1">
      <x:alignment horizontal="center" vertical="center" wrapText="1"/>
    </x:xf>
    <x:xf numFmtId="0" fontId="17" fillId="4" borderId="3" xfId="0" applyNumberFormat="1" applyFont="1" applyFill="1" applyBorder="1" applyAlignment="1">
      <x:alignment horizontal="center" vertical="center" wrapText="1"/>
    </x:xf>
    <x:xf numFmtId="203" fontId="18" fillId="5" borderId="4" xfId="0" applyNumberFormat="1" applyFont="1" applyFill="1" applyBorder="1" applyAlignment="1">
      <x:alignment horizontal="center" vertical="center" wrapText="1"/>
    </x:xf>
    <x:xf numFmtId="203" fontId="18" fillId="5" borderId="5" xfId="0" applyNumberFormat="1" applyFont="1" applyFill="1" applyBorder="1" applyAlignment="1">
      <x:alignment horizontal="center" vertical="center" wrapText="1"/>
    </x:xf>
    <x:xf numFmtId="203" fontId="18" fillId="5" borderId="6" xfId="0" applyNumberFormat="1" applyFont="1" applyFill="1" applyBorder="1" applyAlignment="1">
      <x:alignment horizontal="center" vertical="center" wrapText="1"/>
    </x:xf>
    <x:xf numFmtId="203" fontId="19" fillId="5" borderId="4" xfId="0" applyNumberFormat="1" applyFont="1" applyFill="1" applyBorder="1" applyAlignment="1">
      <x:alignment horizontal="center" vertical="center" wrapText="1"/>
    </x:xf>
    <x:xf numFmtId="203" fontId="19" fillId="5" borderId="5" xfId="0" applyNumberFormat="1" applyFont="1" applyFill="1" applyBorder="1" applyAlignment="1">
      <x:alignment horizontal="center" vertical="center" wrapText="1"/>
    </x:xf>
    <x:xf numFmtId="203" fontId="19" fillId="5" borderId="6" xfId="0" applyNumberFormat="1" applyFont="1" applyFill="1" applyBorder="1" applyAlignment="1">
      <x:alignment horizontal="center" vertical="center" wrapText="1"/>
    </x:xf>
    <x:xf numFmtId="206" fontId="19" fillId="5" borderId="4" xfId="0" applyNumberFormat="1" applyFont="1" applyFill="1" applyBorder="1" applyAlignment="1">
      <x:alignment horizontal="center" vertical="center" wrapText="1"/>
    </x:xf>
    <x:xf numFmtId="206" fontId="19" fillId="5" borderId="5" xfId="0" applyNumberFormat="1" applyFont="1" applyFill="1" applyBorder="1" applyAlignment="1">
      <x:alignment horizontal="center" vertical="center" wrapText="1"/>
    </x:xf>
    <x:xf numFmtId="206" fontId="19" fillId="5" borderId="6" xfId="0" applyNumberFormat="1" applyFont="1" applyFill="1" applyBorder="1" applyAlignment="1">
      <x:alignment horizontal="center" vertical="center" wrapText="1"/>
    </x:xf>
    <x:xf numFmtId="206" fontId="20" fillId="5" borderId="4" xfId="0" applyNumberFormat="1" applyFont="1" applyFill="1" applyBorder="1" applyAlignment="1">
      <x:alignment horizontal="center" vertical="center" wrapText="1"/>
    </x:xf>
    <x:xf numFmtId="206" fontId="20" fillId="5" borderId="5" xfId="0" applyNumberFormat="1" applyFont="1" applyFill="1" applyBorder="1" applyAlignment="1">
      <x:alignment horizontal="center" vertical="center" wrapText="1"/>
    </x:xf>
    <x:xf numFmtId="206" fontId="20" fillId="5" borderId="6" xfId="0" applyNumberFormat="1" applyFont="1" applyFill="1" applyBorder="1" applyAlignment="1">
      <x:alignment horizontal="center" vertical="center" wrapText="1"/>
    </x:xf>
    <x:xf numFmtId="206" fontId="21" fillId="5" borderId="4" xfId="0" applyNumberFormat="1" applyFont="1" applyFill="1" applyBorder="1" applyAlignment="1">
      <x:alignment horizontal="center" vertical="center" wrapText="1"/>
    </x:xf>
    <x:xf numFmtId="206" fontId="21" fillId="5" borderId="6" xfId="0" applyNumberFormat="1" applyFont="1" applyFill="1" applyBorder="1" applyAlignment="1">
      <x:alignment horizontal="center" vertical="center" wrapText="1"/>
    </x:xf>
    <x:xf numFmtId="203" fontId="18" fillId="5" borderId="7" xfId="0" applyNumberFormat="1" applyFont="1" applyFill="1" applyBorder="1" applyAlignment="1">
      <x:alignment horizontal="center" vertical="center" wrapText="1"/>
    </x:xf>
    <x:xf numFmtId="203" fontId="18" fillId="5" borderId="8" xfId="0" applyNumberFormat="1" applyFont="1" applyFill="1" applyBorder="1" applyAlignment="1">
      <x:alignment horizontal="center" vertical="center" wrapText="1"/>
    </x:xf>
    <x:xf numFmtId="203" fontId="18" fillId="5" borderId="9" xfId="0" applyNumberFormat="1" applyFont="1" applyFill="1" applyBorder="1" applyAlignment="1">
      <x:alignment horizontal="center" vertical="center" wrapText="1"/>
    </x:xf>
    <x:xf numFmtId="203" fontId="19" fillId="5" borderId="7" xfId="0" applyNumberFormat="1" applyFont="1" applyFill="1" applyBorder="1" applyAlignment="1">
      <x:alignment horizontal="center" vertical="center" wrapText="1"/>
    </x:xf>
    <x:xf numFmtId="203" fontId="19" fillId="5" borderId="8" xfId="0" applyNumberFormat="1" applyFont="1" applyFill="1" applyBorder="1" applyAlignment="1">
      <x:alignment horizontal="center" vertical="center" wrapText="1"/>
    </x:xf>
    <x:xf numFmtId="203" fontId="19" fillId="5" borderId="9" xfId="0" applyNumberFormat="1" applyFont="1" applyFill="1" applyBorder="1" applyAlignment="1">
      <x:alignment horizontal="center" vertical="center" wrapText="1"/>
    </x:xf>
    <x:xf numFmtId="206" fontId="19" fillId="5" borderId="7" xfId="0" applyNumberFormat="1" applyFont="1" applyFill="1" applyBorder="1" applyAlignment="1">
      <x:alignment horizontal="center" vertical="center" wrapText="1"/>
    </x:xf>
    <x:xf numFmtId="206" fontId="19" fillId="5" borderId="8" xfId="0" applyNumberFormat="1" applyFont="1" applyFill="1" applyBorder="1" applyAlignment="1">
      <x:alignment horizontal="center" vertical="center" wrapText="1"/>
    </x:xf>
    <x:xf numFmtId="206" fontId="19" fillId="5" borderId="9" xfId="0" applyNumberFormat="1" applyFont="1" applyFill="1" applyBorder="1" applyAlignment="1">
      <x:alignment horizontal="center" vertical="center" wrapText="1"/>
    </x:xf>
    <x:xf numFmtId="206" fontId="20" fillId="5" borderId="7" xfId="0" applyNumberFormat="1" applyFont="1" applyFill="1" applyBorder="1" applyAlignment="1">
      <x:alignment horizontal="center" vertical="center" wrapText="1"/>
    </x:xf>
    <x:xf numFmtId="206" fontId="20" fillId="5" borderId="8" xfId="0" applyNumberFormat="1" applyFont="1" applyFill="1" applyBorder="1" applyAlignment="1">
      <x:alignment horizontal="center" vertical="center" wrapText="1"/>
    </x:xf>
    <x:xf numFmtId="206" fontId="20" fillId="5" borderId="9" xfId="0" applyNumberFormat="1" applyFont="1" applyFill="1" applyBorder="1" applyAlignment="1">
      <x:alignment horizontal="center" vertical="center" wrapText="1"/>
    </x:xf>
    <x:xf numFmtId="206" fontId="21" fillId="5" borderId="7" xfId="0" applyNumberFormat="1" applyFont="1" applyFill="1" applyBorder="1" applyAlignment="1">
      <x:alignment horizontal="center" vertical="center" wrapText="1"/>
    </x:xf>
    <x:xf numFmtId="206" fontId="21" fillId="5" borderId="9" xfId="0" applyNumberFormat="1" applyFont="1" applyFill="1" applyBorder="1" applyAlignment="1">
      <x:alignment horizontal="center" vertical="center" wrapText="1"/>
    </x:xf>
    <x:xf numFmtId="0" fontId="22" fillId="3" borderId="0" xfId="0" applyNumberFormat="1" applyFont="1" applyFill="1" applyBorder="1" applyAlignment="1">
      <x:alignment horizontal="left" vertical="center" wrapText="1"/>
    </x:xf>
    <x:xf numFmtId="0" fontId="23" fillId="6" borderId="0" xfId="0" applyNumberFormat="1" applyFont="1" applyFill="1" applyBorder="1" applyAlignment="1">
      <x:alignment horizontal="center" wrapText="1"/>
    </x:xf>
    <x:xf numFmtId="203" fontId="16" fillId="0" borderId="0" xfId="0" applyNumberFormat="1" applyFont="1" applyFill="1" applyBorder="1" applyAlignment="1">
      <x:alignment wrapText="1"/>
    </x:xf>
    <x:xf numFmtId="204" fontId="24" fillId="7" borderId="0" xfId="0" applyNumberFormat="1" applyFont="1" applyFill="1" applyBorder="1" applyAlignment="1">
      <x:alignment wrapText="1"/>
    </x:xf>
    <x:xf numFmtId="201" fontId="16" fillId="0" borderId="0" xfId="0" applyNumberFormat="1" applyFont="1" applyFill="1" applyBorder="1" applyAlignment="1">
      <x:alignment wrapText="1"/>
    </x:xf>
    <x:xf numFmtId="204" fontId="25" fillId="8" borderId="0" xfId="0" applyNumberFormat="1" applyFont="1" applyFill="1" applyBorder="1" applyAlignment="1">
      <x:alignment wrapText="1"/>
    </x:xf>
    <x:xf numFmtId="203" fontId="26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449f961b9e4a52" /><Relationship Type="http://schemas.openxmlformats.org/officeDocument/2006/relationships/theme" Target="/xl/theme/theme1.xml" Id="Rb78f5d1c2f584a59" /><Relationship Type="http://schemas.openxmlformats.org/officeDocument/2006/relationships/sharedStrings" Target="/xl/sharedStrings.xml" Id="Rc8bb51cf47db47f5" /><Relationship Type="http://schemas.openxmlformats.org/officeDocument/2006/relationships/worksheet" Target="/xl/worksheets/sheet1.xml" Id="Rc66d1ee32ef743d3" /><Relationship Type="http://schemas.openxmlformats.org/officeDocument/2006/relationships/worksheet" Target="/xl/worksheets/sheet2.xml" Id="Rb0db516f0f1c4d2b" /><Relationship Type="http://schemas.openxmlformats.org/officeDocument/2006/relationships/worksheet" Target="/xl/worksheets/sheet3.xml" Id="Rab134e68021c4f26" /><Relationship Type="http://schemas.openxmlformats.org/officeDocument/2006/relationships/worksheet" Target="/xl/worksheets/sheet4.xml" Id="R918ac818d1a24ec9" /><Relationship Type="http://schemas.openxmlformats.org/officeDocument/2006/relationships/worksheet" Target="/xl/worksheets/sheet5.xml" Id="Rcb76be8a705b4e0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b802d079ee847f1" /><Relationship Type="http://schemas.openxmlformats.org/officeDocument/2006/relationships/chart" Target="/xl/drawings/charts/chart2.xml" Id="Ree6fb0600a1f4e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模块点击变化（pp）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变化(pp)</c:v>
          </c:tx>
          <c:cat>
            <c:strRef>
              <c:f>'复盘看板'!$A$35:$A$41</c:f>
              <c:strCache>
                <c:ptCount val="0"/>
              </c:strCache>
            </c:strRef>
          </c:cat>
          <c:val>
            <c:numRef>
              <c:f>'复盘看板'!$B$35:$B$41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启动游戏与本地热门点击趋势</a:t>
            </a:r>
          </a:p>
        </c:rich>
      </c:tx>
    </c:title>
    <c:plotArea>
      <c:lineChart>
        <c:grouping val="standard"/>
        <c:ser>
          <c:idx val="0"/>
          <c:order val="0"/>
          <c:tx>
            <c:v>启动游戏占比</c:v>
          </c:tx>
          <c:marker>
            <c:symbol val="none"/>
          </c:marker>
          <c:cat>
            <c:strRef>
              <c:f>'复盘看板'!$E$35:$E$64</c:f>
              <c:strCache>
                <c:ptCount val="0"/>
              </c:strCache>
            </c:strRef>
          </c:cat>
          <c:val>
            <c:numRef>
              <c:f>'复盘看板'!$F$35:$F$64</c:f>
              <c:numCache>
                <c:formatCode>0.0%</c:formatCode>
                <c:ptCount val="0"/>
              </c:numCache>
            </c:numRef>
          </c:val>
        </c:ser>
        <c:ser>
          <c:idx val="1"/>
          <c:order val="1"/>
          <c:tx>
            <c:v>本地热门点击占比</c:v>
          </c:tx>
          <c:marker>
            <c:symbol val="none"/>
          </c:marker>
          <c:cat>
            <c:strRef>
              <c:f>'复盘看板'!$E$35:$E$64</c:f>
              <c:strCache>
                <c:ptCount val="0"/>
              </c:strCache>
            </c:strRef>
          </c:cat>
          <c:val>
            <c:numRef>
              <c:f>'复盘看板'!$G$35:$G$64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7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b802d079ee847f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14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6fb0600a1f4e3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66d4b36e2a842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" hidden="0" customWidth="1"/>
    <x:col min="3" max="3" width="12" hidden="0" customWidth="1"/>
    <x:col min="4" max="4" width="12" hidden="0" customWidth="1"/>
    <x:col min="5" max="5" width="27" hidden="0" customWidth="1"/>
  </x:cols>
  <x:sheetData>
    <x:row r="1" ht="30" customHeight="1">
      <x:c r="A1" s="233" t="str">
        <x:v>安卓新增用户分发复盘看板</x:v>
      </x:c>
      <x:c r="B1" s="233" t="str">
        <x:v>安卓新增用户分发复盘看板</x:v>
      </x:c>
      <x:c r="C1" s="233" t="str">
        <x:v>安卓新增用户分发复盘看板</x:v>
      </x:c>
      <x:c r="D1" s="233" t="str">
        <x:v>安卓新增用户分发复盘看板</x:v>
      </x:c>
      <x:c r="E1" s="233" t="str">
        <x:v>安卓新增用户分发复盘看板</x:v>
      </x:c>
      <x:c r="F1" s="233" t="str">
        <x:v>安卓新增用户分发复盘看板</x:v>
      </x:c>
      <x:c r="G1" s="233" t="str">
        <x:v>安卓新增用户分发复盘看板</x:v>
      </x:c>
      <x:c r="H1" s="233" t="str">
        <x:v>安卓新增用户分发复盘看板</x:v>
      </x:c>
      <x:c r="I1" s="233" t="str">
        <x:v>安卓新增用户分发复盘看板</x:v>
      </x:c>
      <x:c r="J1" s="233" t="str">
        <x:v>安卓新增用户分发复盘看板</x:v>
      </x:c>
      <x:c r="K1" s="233" t="str">
        <x:v>安卓新增用户分发复盘看板</x:v>
      </x:c>
      <x:c r="L1" s="233" t="str">
        <x:v>安卓新增用户分发复盘看板</x:v>
      </x:c>
      <x:c r="M1" s="233" t="str">
        <x:v>安卓新增用户分发复盘看板</x:v>
      </x:c>
      <x:c r="N1" s="233" t="str">
        <x:v>安卓新增用户分发复盘看板</x:v>
      </x:c>
    </x:row>
    <x:row r="2" ht="22" customHeight="1">
      <x:c r="A2" s="234" t="str">
        <x:v>数据周期：2026/06/15–2026/07/14 ｜ 本地热门优化：2026/07/08 ｜ 核心KPI：纯新用户启动游戏占比</x:v>
      </x:c>
      <x:c r="B2" s="234" t="str">
        <x:v>数据周期：2026/06/15–2026/07/14 ｜ 本地热门优化：2026/07/08 ｜ 核心KPI：纯新用户启动游戏占比</x:v>
      </x:c>
      <x:c r="C2" s="234" t="str">
        <x:v>数据周期：2026/06/15–2026/07/14 ｜ 本地热门优化：2026/07/08 ｜ 核心KPI：纯新用户启动游戏占比</x:v>
      </x:c>
      <x:c r="D2" s="234" t="str">
        <x:v>数据周期：2026/06/15–2026/07/14 ｜ 本地热门优化：2026/07/08 ｜ 核心KPI：纯新用户启动游戏占比</x:v>
      </x:c>
      <x:c r="E2" s="234" t="str">
        <x:v>数据周期：2026/06/15–2026/07/14 ｜ 本地热门优化：2026/07/08 ｜ 核心KPI：纯新用户启动游戏占比</x:v>
      </x:c>
      <x:c r="F2" s="234" t="str">
        <x:v>数据周期：2026/06/15–2026/07/14 ｜ 本地热门优化：2026/07/08 ｜ 核心KPI：纯新用户启动游戏占比</x:v>
      </x:c>
      <x:c r="G2" s="234" t="str">
        <x:v>数据周期：2026/06/15–2026/07/14 ｜ 本地热门优化：2026/07/08 ｜ 核心KPI：纯新用户启动游戏占比</x:v>
      </x:c>
      <x:c r="H2" s="234" t="str">
        <x:v>数据周期：2026/06/15–2026/07/14 ｜ 本地热门优化：2026/07/08 ｜ 核心KPI：纯新用户启动游戏占比</x:v>
      </x:c>
      <x:c r="I2" s="234" t="str">
        <x:v>数据周期：2026/06/15–2026/07/14 ｜ 本地热门优化：2026/07/08 ｜ 核心KPI：纯新用户启动游戏占比</x:v>
      </x:c>
      <x:c r="J2" s="234" t="str">
        <x:v>数据周期：2026/06/15–2026/07/14 ｜ 本地热门优化：2026/07/08 ｜ 核心KPI：纯新用户启动游戏占比</x:v>
      </x:c>
      <x:c r="K2" s="234" t="str">
        <x:v>数据周期：2026/06/15–2026/07/14 ｜ 本地热门优化：2026/07/08 ｜ 核心KPI：纯新用户启动游戏占比</x:v>
      </x:c>
      <x:c r="L2" s="234" t="str">
        <x:v>数据周期：2026/06/15–2026/07/14 ｜ 本地热门优化：2026/07/08 ｜ 核心KPI：纯新用户启动游戏占比</x:v>
      </x:c>
      <x:c r="M2" s="234" t="str">
        <x:v>数据周期：2026/06/15–2026/07/14 ｜ 本地热门优化：2026/07/08 ｜ 核心KPI：纯新用户启动游戏占比</x:v>
      </x:c>
      <x:c r="N2" s="234" t="str">
        <x:v>数据周期：2026/06/15–2026/07/14 ｜ 本地热门优化：2026/07/08 ｜ 核心KPI：纯新用户启动游戏占比</x:v>
      </x:c>
    </x:row>
    <x:row r="3">
      <x:c r="A3" s="235"/>
      <x:c r="B3" s="235"/>
      <x:c r="C3" s="235"/>
      <x:c r="D3" s="235"/>
      <x:c r="E3" s="235"/>
      <x:c r="F3" s="235"/>
      <x:c r="G3" s="235"/>
      <x:c r="H3" s="235"/>
      <x:c r="I3" s="235"/>
      <x:c r="J3" s="235"/>
      <x:c r="K3" s="235"/>
      <x:c r="L3" s="235"/>
      <x:c r="M3" s="235"/>
      <x:c r="N3" s="235"/>
    </x:row>
    <x:row r="4">
      <x:c r="A4" s="236" t="str">
        <x:v>优化前启动游戏占比</x:v>
      </x:c>
      <x:c r="B4" s="237" t="str">
        <x:v>优化前启动游戏占比</x:v>
      </x:c>
      <x:c r="C4" s="238" t="str">
        <x:v>优化前启动游戏占比</x:v>
      </x:c>
      <x:c r="D4" s="236" t="str">
        <x:v>优化后启动游戏占比</x:v>
      </x:c>
      <x:c r="E4" s="237" t="str">
        <x:v>优化后启动游戏占比</x:v>
      </x:c>
      <x:c r="F4" s="238" t="str">
        <x:v>优化后启动游戏占比</x:v>
      </x:c>
      <x:c r="G4" s="236" t="str">
        <x:v>KPI 周环比变化</x:v>
      </x:c>
      <x:c r="H4" s="237" t="str">
        <x:v>KPI 周环比变化</x:v>
      </x:c>
      <x:c r="I4" s="238" t="str">
        <x:v>KPI 周环比变化</x:v>
      </x:c>
      <x:c r="J4" s="236" t="str">
        <x:v>本地热门点击变化</x:v>
      </x:c>
      <x:c r="K4" s="237" t="str">
        <x:v>本地热门点击变化</x:v>
      </x:c>
      <x:c r="L4" s="238" t="str">
        <x:v>本地热门点击变化</x:v>
      </x:c>
      <x:c r="M4" s="236" t="str">
        <x:v>活动投放关联提升</x:v>
      </x:c>
      <x:c r="N4" s="238" t="str">
        <x:v>活动投放关联提升</x:v>
      </x:c>
    </x:row>
    <x:row r="5">
      <x:c r="A5" s="239" t="n">
        <x:f>'模块归因'!E2</x:f>
        <x:v>0.7020345093999485</x:v>
      </x:c>
      <x:c r="B5" s="240"/>
      <x:c r="C5" s="241"/>
      <x:c r="D5" s="242" t="n">
        <x:f>'模块归因'!H2</x:f>
        <x:v>0.6788339049485547</x:v>
      </x:c>
      <x:c r="E5" s="243"/>
      <x:c r="F5" s="244"/>
      <x:c r="G5" s="245" t="n">
        <x:f>('模块归因'!H2-'模块归因'!E2)</x:f>
        <x:v>-0.023200604451393825</x:v>
      </x:c>
      <x:c r="H5" s="246"/>
      <x:c r="I5" s="247"/>
      <x:c r="J5" s="248" t="n">
        <x:f>('模块归因'!H3-'模块归因'!E3)</x:f>
        <x:v>0.0046026581274953016</x:v>
      </x:c>
      <x:c r="K5" s="249"/>
      <x:c r="L5" s="250"/>
      <x:c r="M5" s="251" t="n">
        <x:f>M12-M13</x:f>
        <x:v>0.01979197209900585</x:v>
      </x:c>
      <x:c r="N5" s="252"/>
    </x:row>
    <x:row r="6">
      <x:c r="A6" s="253"/>
      <x:c r="B6" s="254"/>
      <x:c r="C6" s="255"/>
      <x:c r="D6" s="256"/>
      <x:c r="E6" s="257"/>
      <x:c r="F6" s="258"/>
      <x:c r="G6" s="259"/>
      <x:c r="H6" s="260"/>
      <x:c r="I6" s="261"/>
      <x:c r="J6" s="262"/>
      <x:c r="K6" s="263"/>
      <x:c r="L6" s="264"/>
      <x:c r="M6" s="265"/>
      <x:c r="N6" s="266"/>
    </x:row>
    <x:row r="7">
      <x:c r="A7" s="235"/>
      <x:c r="B7" s="235"/>
      <x:c r="C7" s="235"/>
      <x:c r="D7" s="235"/>
      <x:c r="E7" s="235"/>
      <x:c r="F7" s="235"/>
      <x:c r="G7" s="235"/>
      <x:c r="H7" s="235"/>
      <x:c r="I7" s="235"/>
      <x:c r="J7" s="235"/>
      <x:c r="K7" s="235"/>
      <x:c r="L7" s="235"/>
      <x:c r="M7" s="235"/>
      <x:c r="N7" s="235"/>
    </x:row>
    <x:row r="8">
      <x:c r="A8" s="267" t="str">
        <x:v>模块归因：优化前后点击占比变化</x:v>
      </x:c>
      <x:c r="B8" s="267" t="str">
        <x:v>模块归因：优化前后点击占比变化</x:v>
      </x:c>
      <x:c r="C8" s="267" t="str">
        <x:v>模块归因：优化前后点击占比变化</x:v>
      </x:c>
      <x:c r="D8" s="267" t="str">
        <x:v>模块归因：优化前后点击占比变化</x:v>
      </x:c>
      <x:c r="E8" s="267" t="str">
        <x:v>模块归因：优化前后点击占比变化</x:v>
      </x:c>
      <x:c r="F8" s="267" t="str">
        <x:v>模块归因：优化前后点击占比变化</x:v>
      </x:c>
      <x:c r="G8" s="267" t="str">
        <x:v>模块归因：优化前后点击占比变化</x:v>
      </x:c>
      <x:c r="H8" s="267" t="str">
        <x:v>模块归因：优化前后点击占比变化</x:v>
      </x:c>
      <x:c r="I8" s="267" t="str">
        <x:v>模块归因：优化前后点击占比变化</x:v>
      </x:c>
      <x:c r="J8" s="267" t="str">
        <x:v>活动 Banner：作为独立投放因素</x:v>
      </x:c>
      <x:c r="K8" s="267" t="str">
        <x:v>活动 Banner：作为独立投放因素</x:v>
      </x:c>
      <x:c r="L8" s="267" t="str">
        <x:v>活动 Banner：作为独立投放因素</x:v>
      </x:c>
      <x:c r="M8" s="267" t="str">
        <x:v>活动 Banner：作为独立投放因素</x:v>
      </x:c>
      <x:c r="N8" s="267" t="str">
        <x:v>活动 Banner：作为独立投放因素</x:v>
      </x:c>
    </x:row>
    <x:row r="9">
      <x:c r="A9" s="268" t="str">
        <x:v>模块</x:v>
      </x:c>
      <x:c r="B9" s="268" t="str">
        <x:v>优化前</x:v>
      </x:c>
      <x:c r="C9" s="268" t="str">
        <x:v>优化后</x:v>
      </x:c>
      <x:c r="D9" s="268" t="str">
        <x:v>变化(pp)</x:v>
      </x:c>
      <x:c r="E9" s="268" t="str">
        <x:v>解读</x:v>
      </x:c>
      <x:c r="F9" s="235"/>
      <x:c r="G9" s="235"/>
      <x:c r="H9" s="235"/>
      <x:c r="I9" s="235"/>
      <x:c r="J9" s="268" t="str">
        <x:v>口径</x:v>
      </x:c>
      <x:c r="K9" s="268" t="str">
        <x:v>天数</x:v>
      </x:c>
      <x:c r="L9" s="268" t="str">
        <x:v>新增用户</x:v>
      </x:c>
      <x:c r="M9" s="268" t="str">
        <x:v>启动游戏UV</x:v>
      </x:c>
      <x:c r="N9" s="268" t="str">
        <x:v>启动占比</x:v>
      </x:c>
    </x:row>
    <x:row r="10">
      <x:c r="A10" s="235" t="str">
        <x:f>'模块归因'!B3</x:f>
        <x:v>本地热门游戏点击</x:v>
      </x:c>
      <x:c r="B10" s="269" t="n">
        <x:f>'模块归因'!E3</x:f>
        <x:v>0.14679371619881534</x:v>
      </x:c>
      <x:c r="C10" s="269" t="n">
        <x:f>'模块归因'!H3</x:f>
        <x:v>0.15139637432631065</x:v>
      </x:c>
      <x:c r="D10" s="270" t="n">
        <x:f>'模块归因'!I3</x:f>
        <x:v>0.46026581274953016</x:v>
      </x:c>
      <x:c r="E10" s="235" t="str">
        <x:v>本地热门点击提升，优化目标达成</x:v>
      </x:c>
      <x:c r="F10" s="235"/>
      <x:c r="G10" s="235"/>
      <x:c r="H10" s="235"/>
      <x:c r="I10" s="235"/>
      <x:c r="J10" s="235" t="str">
        <x:v>活动Banner有点击</x:v>
      </x:c>
      <x:c r="K10" s="235" t="n">
        <x:v>6</x:v>
      </x:c>
      <x:c r="L10" s="271" t="n">
        <x:f>SUMIFS('日趋势'!$B$2:$B$31,'日趋势'!$F$2:$F$31,"&gt;0")</x:f>
        <x:v>3519</x:v>
      </x:c>
      <x:c r="M10" s="271" t="n">
        <x:f>SUMIFS('日趋势'!$C$2:$C$31,'日趋势'!$F$2:$F$31,"&gt;0")</x:f>
        <x:v>2479</x:v>
      </x:c>
      <x:c r="N10" s="269" t="n">
        <x:f>M10/L10</x:f>
        <x:v>0.7044614947428247</x:v>
      </x:c>
    </x:row>
    <x:row r="11">
      <x:c r="A11" s="235" t="str">
        <x:f>'模块归因'!B11</x:f>
        <x:v>游戏模块开始玩点击</x:v>
      </x:c>
      <x:c r="B11" s="269" t="n">
        <x:f>'模块归因'!E11</x:f>
        <x:v>0.21143445789338142</x:v>
      </x:c>
      <x:c r="C11" s="269" t="n">
        <x:f>'模块归因'!H11</x:f>
        <x:v>0.19892209701126898</x:v>
      </x:c>
      <x:c r="D11" s="272" t="n">
        <x:f>'模块归因'!I11</x:f>
        <x:v>-1.2512360882112439</x:v>
      </x:c>
      <x:c r="E11" s="235" t="str">
        <x:v>开始玩点击下降，最大负向模块</x:v>
      </x:c>
      <x:c r="F11" s="235"/>
      <x:c r="G11" s="235"/>
      <x:c r="H11" s="235"/>
      <x:c r="I11" s="235"/>
      <x:c r="J11" s="235" t="str">
        <x:v>活动Banner无点击</x:v>
      </x:c>
      <x:c r="K11" s="235" t="n">
        <x:v>24</x:v>
      </x:c>
      <x:c r="L11" s="271" t="n">
        <x:f>SUMIFS('日趋势'!$B$2:$B$31,'日趋势'!$F$2:$F$31,"=0")</x:f>
        <x:v>13072</x:v>
      </x:c>
      <x:c r="M11" s="271" t="n">
        <x:f>SUMIFS('日趋势'!$C$2:$C$31,'日趋势'!$F$2:$F$31,"=0")</x:f>
        <x:v>8950</x:v>
      </x:c>
      <x:c r="N11" s="269" t="n">
        <x:f>M11/L11</x:f>
        <x:v>0.6846695226438189</x:v>
      </x:c>
    </x:row>
    <x:row r="12">
      <x:c r="A12" s="235" t="str">
        <x:f>'模块归因'!B12</x:f>
        <x:v>家乡专区游戏点击</x:v>
      </x:c>
      <x:c r="B12" s="269" t="n">
        <x:f>'模块归因'!E12</x:f>
        <x:v>0.18928663404584084</x:v>
      </x:c>
      <x:c r="C12" s="269" t="n">
        <x:f>'模块归因'!H12</x:f>
        <x:v>0.18495835374816266</x:v>
      </x:c>
      <x:c r="D12" s="272" t="n">
        <x:f>'模块归因'!I12</x:f>
        <x:v>-0.43282802976781776</x:v>
      </x:c>
      <x:c r="E12" s="235" t="str">
        <x:v>家乡专区小幅下降</x:v>
      </x:c>
      <x:c r="F12" s="235"/>
      <x:c r="G12" s="235"/>
      <x:c r="H12" s="235"/>
      <x:c r="I12" s="235"/>
      <x:c r="J12" s="235" t="str">
        <x:v>有投放启动占比</x:v>
      </x:c>
      <x:c r="K12" s="235" t="str">
        <x:v>有投放启动占比</x:v>
      </x:c>
      <x:c r="L12" s="235" t="str">
        <x:v>有投放启动占比</x:v>
      </x:c>
      <x:c r="M12" s="273" t="n">
        <x:f>N10</x:f>
        <x:v>0.7044614947428247</x:v>
      </x:c>
      <x:c r="N12" s="273"/>
    </x:row>
    <x:row r="13">
      <x:c r="A13" s="235" t="str">
        <x:f>'模块归因'!B9</x:f>
        <x:v>搜索游戏点击</x:v>
      </x:c>
      <x:c r="B13" s="269" t="n">
        <x:f>'模块归因'!E9</x:f>
        <x:v>0.12928148338913212</x:v>
      </x:c>
      <x:c r="C13" s="269" t="n">
        <x:f>'模块归因'!H9</x:f>
        <x:v>0.1256736893679569</x:v>
      </x:c>
      <x:c r="D13" s="272" t="n">
        <x:f>'模块归因'!I9</x:f>
        <x:v>-0.3607794021175226</x:v>
      </x:c>
      <x:c r="E13" s="235" t="str">
        <x:v>搜索入口小幅下降</x:v>
      </x:c>
      <x:c r="F13" s="235"/>
      <x:c r="G13" s="235"/>
      <x:c r="H13" s="235"/>
      <x:c r="I13" s="235"/>
      <x:c r="J13" s="235" t="str">
        <x:v>无投放启动占比</x:v>
      </x:c>
      <x:c r="K13" s="235" t="str">
        <x:v>无投放启动占比</x:v>
      </x:c>
      <x:c r="L13" s="235" t="str">
        <x:v>无投放启动占比</x:v>
      </x:c>
      <x:c r="M13" s="273" t="n">
        <x:f>N11</x:f>
        <x:v>0.6846695226438189</x:v>
      </x:c>
      <x:c r="N13" s="273"/>
    </x:row>
    <x:row r="14">
      <x:c r="A14" s="235" t="str">
        <x:f>'模块归因'!B10</x:f>
        <x:v>页签内点击</x:v>
      </x:c>
      <x:c r="B14" s="269" t="n">
        <x:f>'模块归因'!E10</x:f>
        <x:v>0.03991758949266031</x:v>
      </x:c>
      <x:c r="C14" s="269" t="n">
        <x:f>'模块归因'!H10</x:f>
        <x:v>0.04654581087702107</x:v>
      </x:c>
      <x:c r="D14" s="270" t="n">
        <x:f>'模块归因'!I10</x:f>
        <x:v>0.6628221384360755</x:v>
      </x:c>
      <x:c r="E14" s="235" t="str">
        <x:v>页签内点击提升</x:v>
      </x:c>
      <x:c r="F14" s="235"/>
      <x:c r="G14" s="235"/>
      <x:c r="H14" s="235"/>
      <x:c r="I14" s="235"/>
      <x:c r="J14" s="235"/>
      <x:c r="K14" s="235"/>
      <x:c r="L14" s="235"/>
      <x:c r="M14" s="235"/>
      <x:c r="N14" s="235"/>
    </x:row>
    <x:row r="15">
      <x:c r="A15" s="235"/>
      <x:c r="B15" s="235"/>
      <x:c r="C15" s="235"/>
      <x:c r="D15" s="235"/>
      <x:c r="E15" s="235"/>
      <x:c r="F15" s="235"/>
      <x:c r="G15" s="235"/>
      <x:c r="H15" s="235"/>
      <x:c r="I15" s="235"/>
      <x:c r="J15" s="235"/>
      <x:c r="K15" s="235"/>
      <x:c r="L15" s="235"/>
      <x:c r="M15" s="235"/>
      <x:c r="N15" s="235"/>
    </x:row>
    <x:row r="16">
      <x:c r="A16" s="267" t="str">
        <x:v>复盘判断与下一步动作</x:v>
      </x:c>
      <x:c r="B16" s="267" t="str">
        <x:v>复盘判断与下一步动作</x:v>
      </x:c>
      <x:c r="C16" s="267" t="str">
        <x:v>复盘判断与下一步动作</x:v>
      </x:c>
      <x:c r="D16" s="267" t="str">
        <x:v>复盘判断与下一步动作</x:v>
      </x:c>
      <x:c r="E16" s="267" t="str">
        <x:v>复盘判断与下一步动作</x:v>
      </x:c>
      <x:c r="F16" s="267" t="str">
        <x:v>复盘判断与下一步动作</x:v>
      </x:c>
      <x:c r="G16" s="267" t="str">
        <x:v>复盘判断与下一步动作</x:v>
      </x:c>
      <x:c r="H16" s="267" t="str">
        <x:v>复盘判断与下一步动作</x:v>
      </x:c>
      <x:c r="I16" s="267" t="str">
        <x:v>复盘判断与下一步动作</x:v>
      </x:c>
      <x:c r="J16" s="267" t="str">
        <x:v>复盘判断与下一步动作</x:v>
      </x:c>
      <x:c r="K16" s="267" t="str">
        <x:v>复盘判断与下一步动作</x:v>
      </x:c>
      <x:c r="L16" s="267" t="str">
        <x:v>复盘判断与下一步动作</x:v>
      </x:c>
      <x:c r="M16" s="267" t="str">
        <x:v>复盘判断与下一步动作</x:v>
      </x:c>
      <x:c r="N16" s="267" t="str">
        <x:v>复盘判断与下一步动作</x:v>
      </x:c>
    </x:row>
    <x:row r="17" ht="28" customHeight="1">
      <x:c r="A17" s="223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B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C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D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E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F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G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H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I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J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K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L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M17" s="224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N17" s="225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</x:row>
    <x:row r="18" ht="28" customHeight="1">
      <x:c r="A18" s="226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B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C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D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E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F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G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H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I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J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K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L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M18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N18" s="228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</x:row>
    <x:row r="19" ht="28" customHeight="1">
      <x:c r="A19" s="226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B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C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D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E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F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G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H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I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J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K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L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M19" s="227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N19" s="228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</x:row>
    <x:row r="20" ht="28" customHeight="1">
      <x:c r="A20" s="229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B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C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D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E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F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G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H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I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J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K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L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M20" s="230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  <x:c r="N20" s="231" t="str">
        <x:v>结论：本地热门点击提升 0.46pp，模块优化有效；但核心KPI下降 2.32pp。
主要负向模块：游戏模块“开始玩”点击下降 1.25pp，其次是家乡专区与搜索。
活动 Banner 为按需临时投放：有投放日期的启动占比显著更高，应作为外部环境变量单列，不与本地热门改版混合归因。
动作：保持本地热门当前方案；优先排查游戏模块“开始玩”的承接游戏、排序和入口；周复盘固定标注活动 Banner 是否投放。</x:v>
      </x:c>
    </x:row>
    <x:row r="21">
      <x:c r="A21" s="184"/>
      <x:c r="B21" s="184"/>
      <x:c r="C21" s="184"/>
      <x:c r="D21" s="184"/>
      <x:c r="E21" s="184"/>
      <x:c r="F21" s="184"/>
      <x:c r="G21" s="184"/>
      <x:c r="H21" s="184"/>
      <x:c r="I21" s="184"/>
      <x:c r="J21" s="184"/>
      <x:c r="K21" s="184"/>
      <x:c r="L21" s="184"/>
      <x:c r="M21" s="184"/>
      <x:c r="N21" s="184"/>
    </x:row>
    <x:row r="22">
      <x:c r="A22" s="184"/>
      <x:c r="B22" s="184"/>
      <x:c r="C22" s="184"/>
      <x:c r="D22" s="184"/>
      <x:c r="E22" s="184"/>
      <x:c r="F22" s="184"/>
      <x:c r="G22" s="184"/>
      <x:c r="H22" s="184"/>
      <x:c r="I22" s="184"/>
      <x:c r="J22" s="184"/>
      <x:c r="K22" s="184"/>
      <x:c r="L22" s="184"/>
      <x:c r="M22" s="184"/>
      <x:c r="N22" s="184"/>
    </x:row>
    <x:row r="23">
      <x:c r="A23" s="184"/>
      <x:c r="B23" s="184"/>
      <x:c r="C23" s="184"/>
      <x:c r="D23" s="184"/>
      <x:c r="E23" s="184"/>
      <x:c r="F23" s="184"/>
      <x:c r="G23" s="184"/>
      <x:c r="H23" s="184"/>
      <x:c r="I23" s="184"/>
      <x:c r="J23" s="184"/>
      <x:c r="K23" s="184"/>
      <x:c r="L23" s="184"/>
      <x:c r="M23" s="184"/>
      <x:c r="N23" s="184"/>
    </x:row>
    <x:row r="24">
      <x:c r="A24" s="184"/>
      <x:c r="B24" s="184"/>
      <x:c r="C24" s="184"/>
      <x:c r="D24" s="184"/>
      <x:c r="E24" s="184"/>
      <x:c r="F24" s="184"/>
      <x:c r="G24" s="184"/>
      <x:c r="H24" s="184"/>
      <x:c r="I24" s="184"/>
      <x:c r="J24" s="184"/>
      <x:c r="K24" s="184"/>
      <x:c r="L24" s="184"/>
      <x:c r="M24" s="184"/>
      <x:c r="N24" s="184"/>
    </x:row>
    <x:row r="25">
      <x:c r="A25" s="184"/>
      <x:c r="B25" s="184"/>
      <x:c r="C25" s="184"/>
      <x:c r="D25" s="184"/>
      <x:c r="E25" s="184"/>
      <x:c r="F25" s="184"/>
      <x:c r="G25" s="184"/>
      <x:c r="H25" s="184"/>
      <x:c r="I25" s="184"/>
      <x:c r="J25" s="184"/>
      <x:c r="K25" s="184"/>
      <x:c r="L25" s="184"/>
      <x:c r="M25" s="184"/>
      <x:c r="N25" s="184"/>
    </x:row>
    <x:row r="26">
      <x:c r="A26" s="184"/>
      <x:c r="B26" s="184"/>
      <x:c r="C26" s="184"/>
      <x:c r="D26" s="184"/>
      <x:c r="E26" s="184"/>
      <x:c r="F26" s="184"/>
      <x:c r="G26" s="184"/>
      <x:c r="H26" s="184"/>
      <x:c r="I26" s="184"/>
      <x:c r="J26" s="184"/>
      <x:c r="K26" s="184"/>
      <x:c r="L26" s="184"/>
      <x:c r="M26" s="184"/>
      <x:c r="N26" s="184"/>
    </x:row>
    <x:row r="27">
      <x:c r="A27" s="184"/>
      <x:c r="B27" s="184"/>
      <x:c r="C27" s="184"/>
      <x:c r="D27" s="184"/>
      <x:c r="E27" s="184"/>
      <x:c r="F27" s="184"/>
      <x:c r="G27" s="184"/>
      <x:c r="H27" s="184"/>
      <x:c r="I27" s="184"/>
      <x:c r="J27" s="184"/>
      <x:c r="K27" s="184"/>
      <x:c r="L27" s="184"/>
      <x:c r="M27" s="184"/>
      <x:c r="N27" s="184"/>
    </x:row>
    <x:row r="28">
      <x:c r="A28" s="184"/>
      <x:c r="B28" s="184"/>
      <x:c r="C28" s="184"/>
      <x:c r="D28" s="184"/>
      <x:c r="E28" s="184"/>
      <x:c r="F28" s="184"/>
      <x:c r="G28" s="184"/>
      <x:c r="H28" s="184"/>
      <x:c r="I28" s="184"/>
      <x:c r="J28" s="184"/>
      <x:c r="K28" s="184"/>
      <x:c r="L28" s="184"/>
      <x:c r="M28" s="184"/>
      <x:c r="N28" s="184"/>
    </x:row>
    <x:row r="29">
      <x:c r="A29" s="184"/>
      <x:c r="B29" s="184"/>
      <x:c r="C29" s="184"/>
      <x:c r="D29" s="184"/>
      <x:c r="E29" s="184"/>
      <x:c r="F29" s="184"/>
      <x:c r="G29" s="184"/>
      <x:c r="H29" s="184"/>
      <x:c r="I29" s="184"/>
      <x:c r="J29" s="184"/>
      <x:c r="K29" s="184"/>
      <x:c r="L29" s="184"/>
      <x:c r="M29" s="184"/>
      <x:c r="N29" s="184"/>
    </x:row>
    <x:row r="30">
      <x:c r="A30" s="184"/>
      <x:c r="B30" s="184"/>
      <x:c r="C30" s="184"/>
      <x:c r="D30" s="184"/>
      <x:c r="E30" s="184"/>
      <x:c r="F30" s="184"/>
      <x:c r="G30" s="184"/>
      <x:c r="H30" s="184"/>
      <x:c r="I30" s="184"/>
      <x:c r="J30" s="184"/>
      <x:c r="K30" s="184"/>
      <x:c r="L30" s="184"/>
      <x:c r="M30" s="184"/>
      <x:c r="N30" s="184"/>
    </x:row>
    <x:row r="31">
      <x:c r="A31" s="184"/>
      <x:c r="B31" s="184"/>
      <x:c r="C31" s="184"/>
      <x:c r="D31" s="184"/>
      <x:c r="E31" s="184"/>
      <x:c r="F31" s="184"/>
      <x:c r="G31" s="184"/>
      <x:c r="H31" s="184"/>
      <x:c r="I31" s="184"/>
      <x:c r="J31" s="184"/>
      <x:c r="K31" s="184"/>
      <x:c r="L31" s="184"/>
      <x:c r="M31" s="184"/>
      <x:c r="N31" s="184"/>
    </x:row>
    <x:row r="32">
      <x:c r="A32" s="184"/>
      <x:c r="B32" s="184"/>
      <x:c r="C32" s="184"/>
      <x:c r="D32" s="184"/>
      <x:c r="E32" s="184"/>
      <x:c r="F32" s="184"/>
      <x:c r="G32" s="184"/>
      <x:c r="H32" s="184"/>
      <x:c r="I32" s="184"/>
      <x:c r="J32" s="184"/>
      <x:c r="K32" s="184"/>
      <x:c r="L32" s="184"/>
      <x:c r="M32" s="184"/>
      <x:c r="N32" s="184"/>
    </x:row>
    <x:row r="33">
      <x:c r="A33" s="184"/>
      <x:c r="B33" s="184"/>
      <x:c r="C33" s="184"/>
      <x:c r="D33" s="184"/>
      <x:c r="E33" s="184"/>
      <x:c r="F33" s="184"/>
      <x:c r="G33" s="184"/>
      <x:c r="H33" s="184"/>
      <x:c r="I33" s="184"/>
      <x:c r="J33" s="184"/>
      <x:c r="K33" s="184"/>
      <x:c r="L33" s="184"/>
      <x:c r="M33" s="184"/>
      <x:c r="N33" s="184"/>
    </x:row>
    <x:row r="34">
      <x:c r="A34" s="184" t="str">
        <x:v>模块</x:v>
      </x:c>
      <x:c r="B34" s="184" t="str">
        <x:v>变化(pp)</x:v>
      </x:c>
      <x:c r="C34" s="184" t="str">
        <x:v>方向</x:v>
      </x:c>
      <x:c r="D34" s="184"/>
      <x:c r="E34" s="184" t="str">
        <x:v>日期</x:v>
      </x:c>
      <x:c r="F34" s="184" t="str">
        <x:v>启动游戏占比</x:v>
      </x:c>
      <x:c r="G34" s="184" t="str">
        <x:v>本地热门点击占比</x:v>
      </x:c>
      <x:c r="H34" s="184"/>
      <x:c r="I34" s="184"/>
      <x:c r="J34" s="184"/>
      <x:c r="K34" s="184"/>
      <x:c r="L34" s="184"/>
      <x:c r="M34" s="184"/>
      <x:c r="N34" s="184"/>
    </x:row>
    <x:row r="35">
      <x:c r="A35" s="184" t="str">
        <x:v>本地热门</x:v>
      </x:c>
      <x:c r="B35" s="232" t="n">
        <x:v>0.460266</x:v>
      </x:c>
      <x:c r="C35" s="184" t="str">
        <x:v>提升</x:v>
      </x:c>
      <x:c r="D35" s="184"/>
      <x:c r="E35" s="184" t="str">
        <x:f>TEXT('日趋势'!A2,"mm-dd")</x:f>
        <x:v>06-15</x:v>
      </x:c>
      <x:c r="F35" s="218" t="n">
        <x:f>'日趋势'!D2</x:f>
        <x:v>0.6131528046421664</x:v>
      </x:c>
      <x:c r="G35" s="218" t="n">
        <x:f>'日趋势'!E2</x:f>
        <x:v>0.07736943907156674</x:v>
      </x:c>
      <x:c r="H35" s="184"/>
      <x:c r="I35" s="184"/>
      <x:c r="J35" s="184"/>
      <x:c r="K35" s="184"/>
      <x:c r="L35" s="184"/>
      <x:c r="M35" s="184"/>
      <x:c r="N35" s="184"/>
    </x:row>
    <x:row r="36">
      <x:c r="A36" s="184" t="str">
        <x:v>推荐列表</x:v>
      </x:c>
      <x:c r="B36" s="232" t="n">
        <x:v>0.252542</x:v>
      </x:c>
      <x:c r="C36" s="184" t="str">
        <x:v>提升</x:v>
      </x:c>
      <x:c r="D36" s="184"/>
      <x:c r="E36" s="184" t="str">
        <x:f>TEXT('日趋势'!A3,"mm-dd")</x:f>
        <x:v>06-16</x:v>
      </x:c>
      <x:c r="F36" s="218" t="n">
        <x:f>'日趋势'!D3</x:f>
        <x:v>0.7209302325581395</x:v>
      </x:c>
      <x:c r="G36" s="218" t="n">
        <x:f>'日趋势'!E3</x:f>
        <x:v>0.0824524312896406</x:v>
      </x:c>
      <x:c r="H36" s="184"/>
      <x:c r="I36" s="184"/>
      <x:c r="J36" s="184"/>
      <x:c r="K36" s="184"/>
      <x:c r="L36" s="184"/>
      <x:c r="M36" s="184"/>
      <x:c r="N36" s="184"/>
    </x:row>
    <x:row r="37">
      <x:c r="A37" s="184" t="str">
        <x:v>首屏banner</x:v>
      </x:c>
      <x:c r="B37" s="232" t="n">
        <x:v>0.435326</x:v>
      </x:c>
      <x:c r="C37" s="184" t="str">
        <x:v>提升</x:v>
      </x:c>
      <x:c r="D37" s="184"/>
      <x:c r="E37" s="184" t="str">
        <x:f>TEXT('日趋势'!A4,"mm-dd")</x:f>
        <x:v>06-17</x:v>
      </x:c>
      <x:c r="F37" s="218" t="n">
        <x:f>'日趋势'!D4</x:f>
        <x:v>0.6867469879518072</x:v>
      </x:c>
      <x:c r="G37" s="218" t="n">
        <x:f>'日趋势'!E4</x:f>
        <x:v>0.10642570281124498</x:v>
      </x:c>
      <x:c r="H37" s="184"/>
      <x:c r="I37" s="184"/>
      <x:c r="J37" s="184"/>
      <x:c r="K37" s="184"/>
      <x:c r="L37" s="184"/>
      <x:c r="M37" s="184"/>
      <x:c r="N37" s="184"/>
    </x:row>
    <x:row r="38">
      <x:c r="A38" s="184" t="str">
        <x:v>搜索</x:v>
      </x:c>
      <x:c r="B38" s="232" t="n">
        <x:v>-0.360779</x:v>
      </x:c>
      <x:c r="C38" s="184" t="str">
        <x:v>下降</x:v>
      </x:c>
      <x:c r="D38" s="184"/>
      <x:c r="E38" s="184" t="str">
        <x:f>TEXT('日趋势'!A5,"mm-dd")</x:f>
        <x:v>06-18</x:v>
      </x:c>
      <x:c r="F38" s="218" t="n">
        <x:f>'日趋势'!D5</x:f>
        <x:v>0.6990825688073394</x:v>
      </x:c>
      <x:c r="G38" s="218" t="n">
        <x:f>'日趋势'!E5</x:f>
        <x:v>0.13761467889908258</x:v>
      </x:c>
      <x:c r="H38" s="184"/>
      <x:c r="I38" s="184"/>
      <x:c r="J38" s="184"/>
      <x:c r="K38" s="184"/>
      <x:c r="L38" s="184"/>
      <x:c r="M38" s="184"/>
      <x:c r="N38" s="184"/>
    </x:row>
    <x:row r="39">
      <x:c r="A39" s="184" t="str">
        <x:v>页签内</x:v>
      </x:c>
      <x:c r="B39" s="232" t="n">
        <x:v>0.662822</x:v>
      </x:c>
      <x:c r="C39" s="184" t="str">
        <x:v>提升</x:v>
      </x:c>
      <x:c r="D39" s="184"/>
      <x:c r="E39" s="184" t="str">
        <x:f>TEXT('日趋势'!A6,"mm-dd")</x:f>
        <x:v>06-19</x:v>
      </x:c>
      <x:c r="F39" s="218" t="n">
        <x:f>'日趋势'!D6</x:f>
        <x:v>0.7027863777089783</x:v>
      </x:c>
      <x:c r="G39" s="218" t="n">
        <x:f>'日趋势'!E6</x:f>
        <x:v>0.12693498452012383</x:v>
      </x:c>
      <x:c r="H39" s="184"/>
      <x:c r="I39" s="184"/>
      <x:c r="J39" s="184"/>
      <x:c r="K39" s="184"/>
      <x:c r="L39" s="184"/>
      <x:c r="M39" s="184"/>
      <x:c r="N39" s="184"/>
    </x:row>
    <x:row r="40">
      <x:c r="A40" s="184" t="str">
        <x:v>游戏模块开始玩</x:v>
      </x:c>
      <x:c r="B40" s="232" t="n">
        <x:v>-1.251236</x:v>
      </x:c>
      <x:c r="C40" s="184" t="str">
        <x:v>下降</x:v>
      </x:c>
      <x:c r="D40" s="184"/>
      <x:c r="E40" s="184" t="str">
        <x:f>TEXT('日趋势'!A7,"mm-dd")</x:f>
        <x:v>06-20</x:v>
      </x:c>
      <x:c r="F40" s="218" t="n">
        <x:f>'日趋势'!D7</x:f>
        <x:v>0.7012089810017271</x:v>
      </x:c>
      <x:c r="G40" s="218" t="n">
        <x:f>'日趋势'!E7</x:f>
        <x:v>0.15544041450777202</x:v>
      </x:c>
      <x:c r="H40" s="184"/>
      <x:c r="I40" s="184"/>
      <x:c r="J40" s="184"/>
      <x:c r="K40" s="184"/>
      <x:c r="L40" s="184"/>
      <x:c r="M40" s="184"/>
      <x:c r="N40" s="184"/>
    </x:row>
    <x:row r="41">
      <x:c r="A41" s="184" t="str">
        <x:v>家乡专区</x:v>
      </x:c>
      <x:c r="B41" s="232" t="n">
        <x:v>-0.432828</x:v>
      </x:c>
      <x:c r="C41" s="184" t="str">
        <x:v>下降</x:v>
      </x:c>
      <x:c r="D41" s="184"/>
      <x:c r="E41" s="184" t="str">
        <x:f>TEXT('日趋势'!A8,"mm-dd")</x:f>
        <x:v>06-21</x:v>
      </x:c>
      <x:c r="F41" s="218" t="n">
        <x:f>'日趋势'!D8</x:f>
        <x:v>0.6822107081174439</x:v>
      </x:c>
      <x:c r="G41" s="218" t="n">
        <x:f>'日趋势'!E8</x:f>
        <x:v>0.13471502590673576</x:v>
      </x:c>
      <x:c r="H41" s="184"/>
      <x:c r="I41" s="184"/>
      <x:c r="J41" s="184"/>
      <x:c r="K41" s="184"/>
      <x:c r="L41" s="184"/>
      <x:c r="M41" s="184"/>
      <x:c r="N41" s="184"/>
    </x:row>
    <x:row r="42">
      <x:c r="A42" s="184"/>
      <x:c r="B42" s="184"/>
      <x:c r="C42" s="184"/>
      <x:c r="D42" s="184"/>
      <x:c r="E42" s="184" t="str">
        <x:f>TEXT('日趋势'!A9,"mm-dd")</x:f>
        <x:v>06-22</x:v>
      </x:c>
      <x:c r="F42" s="218" t="n">
        <x:f>'日趋势'!D9</x:f>
        <x:v>0.6660447761194029</x:v>
      </x:c>
      <x:c r="G42" s="218" t="n">
        <x:f>'日趋势'!E9</x:f>
        <x:v>0.14738805970149255</x:v>
      </x:c>
      <x:c r="H42" s="184"/>
      <x:c r="I42" s="184"/>
      <x:c r="J42" s="184"/>
      <x:c r="K42" s="184"/>
      <x:c r="L42" s="184"/>
      <x:c r="M42" s="184"/>
      <x:c r="N42" s="184"/>
    </x:row>
    <x:row r="43">
      <x:c r="A43" s="184"/>
      <x:c r="B43" s="184"/>
      <x:c r="C43" s="184"/>
      <x:c r="D43" s="184"/>
      <x:c r="E43" s="184" t="str">
        <x:f>TEXT('日趋势'!A10,"mm-dd")</x:f>
        <x:v>06-23</x:v>
      </x:c>
      <x:c r="F43" s="218" t="n">
        <x:f>'日趋势'!D10</x:f>
        <x:v>0.675</x:v>
      </x:c>
      <x:c r="G43" s="218" t="n">
        <x:f>'日趋势'!E10</x:f>
        <x:v>0.12884615384615383</x:v>
      </x:c>
      <x:c r="H43" s="184"/>
      <x:c r="I43" s="184"/>
      <x:c r="J43" s="184"/>
      <x:c r="K43" s="184"/>
      <x:c r="L43" s="184"/>
      <x:c r="M43" s="184"/>
      <x:c r="N43" s="184"/>
    </x:row>
    <x:row r="44">
      <x:c r="A44" s="184"/>
      <x:c r="B44" s="184"/>
      <x:c r="C44" s="184"/>
      <x:c r="D44" s="184"/>
      <x:c r="E44" s="184" t="str">
        <x:f>TEXT('日趋势'!A11,"mm-dd")</x:f>
        <x:v>06-24</x:v>
      </x:c>
      <x:c r="F44" s="218" t="n">
        <x:f>'日趋势'!D11</x:f>
        <x:v>0.6873857404021938</x:v>
      </x:c>
      <x:c r="G44" s="218" t="n">
        <x:f>'日趋势'!E11</x:f>
        <x:v>0.14442413162705667</x:v>
      </x:c>
      <x:c r="H44" s="184"/>
      <x:c r="I44" s="184"/>
      <x:c r="J44" s="184"/>
      <x:c r="K44" s="184"/>
      <x:c r="L44" s="184"/>
      <x:c r="M44" s="184"/>
      <x:c r="N44" s="184"/>
    </x:row>
    <x:row r="45">
      <x:c r="A45" s="184"/>
      <x:c r="B45" s="184"/>
      <x:c r="C45" s="184"/>
      <x:c r="D45" s="184"/>
      <x:c r="E45" s="184" t="str">
        <x:f>TEXT('日趋势'!A12,"mm-dd")</x:f>
        <x:v>06-25</x:v>
      </x:c>
      <x:c r="F45" s="218" t="n">
        <x:f>'日趋势'!D12</x:f>
        <x:v>0.6872586872586872</x:v>
      </x:c>
      <x:c r="G45" s="218" t="n">
        <x:f>'日趋势'!E12</x:f>
        <x:v>0.14864864864864866</x:v>
      </x:c>
      <x:c r="H45" s="184"/>
      <x:c r="I45" s="184"/>
      <x:c r="J45" s="184"/>
      <x:c r="K45" s="184"/>
      <x:c r="L45" s="184"/>
      <x:c r="M45" s="184"/>
      <x:c r="N45" s="184"/>
    </x:row>
    <x:row r="46">
      <x:c r="A46" s="184"/>
      <x:c r="B46" s="184"/>
      <x:c r="C46" s="184"/>
      <x:c r="D46" s="184"/>
      <x:c r="E46" s="184" t="str">
        <x:f>TEXT('日趋势'!A13,"mm-dd")</x:f>
        <x:v>06-26</x:v>
      </x:c>
      <x:c r="F46" s="218" t="n">
        <x:f>'日趋势'!D13</x:f>
        <x:v>0.7088846880907372</x:v>
      </x:c>
      <x:c r="G46" s="218" t="n">
        <x:f>'日趋势'!E13</x:f>
        <x:v>0.13988657844990549</x:v>
      </x:c>
      <x:c r="H46" s="184"/>
      <x:c r="I46" s="184"/>
      <x:c r="J46" s="184"/>
      <x:c r="K46" s="184"/>
      <x:c r="L46" s="184"/>
      <x:c r="M46" s="184"/>
      <x:c r="N46" s="184"/>
    </x:row>
    <x:row r="47">
      <x:c r="A47" s="184"/>
      <x:c r="B47" s="184"/>
      <x:c r="C47" s="184"/>
      <x:c r="D47" s="184"/>
      <x:c r="E47" s="184" t="str">
        <x:f>TEXT('日趋势'!A14,"mm-dd")</x:f>
        <x:v>06-27</x:v>
      </x:c>
      <x:c r="F47" s="218" t="n">
        <x:f>'日趋势'!D14</x:f>
        <x:v>0.6700404858299596</x:v>
      </x:c>
      <x:c r="G47" s="218" t="n">
        <x:f>'日趋势'!E14</x:f>
        <x:v>0.1396761133603239</x:v>
      </x:c>
      <x:c r="H47" s="184"/>
      <x:c r="I47" s="184"/>
      <x:c r="J47" s="184"/>
      <x:c r="K47" s="184"/>
      <x:c r="L47" s="184"/>
      <x:c r="M47" s="184"/>
      <x:c r="N47" s="184"/>
    </x:row>
    <x:row r="48">
      <x:c r="A48" s="184"/>
      <x:c r="B48" s="184"/>
      <x:c r="C48" s="184"/>
      <x:c r="D48" s="184"/>
      <x:c r="E48" s="184" t="str">
        <x:f>TEXT('日趋势'!A15,"mm-dd")</x:f>
        <x:v>06-28</x:v>
      </x:c>
      <x:c r="F48" s="218" t="n">
        <x:f>'日趋势'!D15</x:f>
        <x:v>0.7086330935251799</x:v>
      </x:c>
      <x:c r="G48" s="218" t="n">
        <x:f>'日趋势'!E15</x:f>
        <x:v>0.12410071942446044</x:v>
      </x:c>
      <x:c r="H48" s="184"/>
      <x:c r="I48" s="184"/>
      <x:c r="J48" s="184"/>
      <x:c r="K48" s="184"/>
      <x:c r="L48" s="184"/>
      <x:c r="M48" s="184"/>
      <x:c r="N48" s="184"/>
    </x:row>
    <x:row r="49">
      <x:c r="A49" s="184"/>
      <x:c r="B49" s="184"/>
      <x:c r="C49" s="184"/>
      <x:c r="D49" s="184"/>
      <x:c r="E49" s="184" t="str">
        <x:f>TEXT('日趋势'!A16,"mm-dd")</x:f>
        <x:v>06-29</x:v>
      </x:c>
      <x:c r="F49" s="218" t="n">
        <x:f>'日趋势'!D16</x:f>
        <x:v>0.7028985507246377</x:v>
      </x:c>
      <x:c r="G49" s="218" t="n">
        <x:f>'日趋势'!E16</x:f>
        <x:v>0.12318840579710146</x:v>
      </x:c>
      <x:c r="H49" s="184"/>
      <x:c r="I49" s="184"/>
      <x:c r="J49" s="184"/>
      <x:c r="K49" s="184"/>
      <x:c r="L49" s="184"/>
      <x:c r="M49" s="184"/>
      <x:c r="N49" s="184"/>
    </x:row>
    <x:row r="50">
      <x:c r="A50" s="184"/>
      <x:c r="B50" s="184"/>
      <x:c r="C50" s="184"/>
      <x:c r="D50" s="184"/>
      <x:c r="E50" s="184" t="str">
        <x:f>TEXT('日趋势'!A17,"mm-dd")</x:f>
        <x:v>06-30</x:v>
      </x:c>
      <x:c r="F50" s="218" t="n">
        <x:f>'日趋势'!D17</x:f>
        <x:v>0.6852886405959032</x:v>
      </x:c>
      <x:c r="G50" s="218" t="n">
        <x:f>'日趋势'!E17</x:f>
        <x:v>0.15083798882681565</x:v>
      </x:c>
      <x:c r="H50" s="184"/>
      <x:c r="I50" s="184"/>
      <x:c r="J50" s="184"/>
      <x:c r="K50" s="184"/>
      <x:c r="L50" s="184"/>
      <x:c r="M50" s="184"/>
      <x:c r="N50" s="184"/>
    </x:row>
    <x:row r="51">
      <x:c r="A51" s="184"/>
      <x:c r="B51" s="184"/>
      <x:c r="C51" s="184"/>
      <x:c r="D51" s="184"/>
      <x:c r="E51" s="184" t="str">
        <x:f>TEXT('日趋势'!A18,"mm-dd")</x:f>
        <x:v>07-01</x:v>
      </x:c>
      <x:c r="F51" s="218" t="n">
        <x:f>'日趋势'!D18</x:f>
        <x:v>0.6691871455576559</x:v>
      </x:c>
      <x:c r="G51" s="218" t="n">
        <x:f>'日趋势'!E18</x:f>
        <x:v>0.1342155009451796</x:v>
      </x:c>
      <x:c r="H51" s="184"/>
      <x:c r="I51" s="184"/>
      <x:c r="J51" s="184"/>
      <x:c r="K51" s="184"/>
      <x:c r="L51" s="184"/>
      <x:c r="M51" s="184"/>
      <x:c r="N51" s="184"/>
    </x:row>
    <x:row r="52">
      <x:c r="A52" s="184"/>
      <x:c r="B52" s="184"/>
      <x:c r="C52" s="184"/>
      <x:c r="D52" s="184"/>
      <x:c r="E52" s="184" t="str">
        <x:f>TEXT('日趋势'!A19,"mm-dd")</x:f>
        <x:v>07-02</x:v>
      </x:c>
      <x:c r="F52" s="218" t="n">
        <x:f>'日趋势'!D19</x:f>
        <x:v>0.6955719557195572</x:v>
      </x:c>
      <x:c r="G52" s="218" t="n">
        <x:f>'日趋势'!E19</x:f>
        <x:v>0.12361623616236163</x:v>
      </x:c>
      <x:c r="H52" s="184"/>
      <x:c r="I52" s="184"/>
      <x:c r="J52" s="184"/>
      <x:c r="K52" s="184"/>
      <x:c r="L52" s="184"/>
      <x:c r="M52" s="184"/>
      <x:c r="N52" s="184"/>
    </x:row>
    <x:row r="53">
      <x:c r="A53" s="184"/>
      <x:c r="B53" s="184"/>
      <x:c r="C53" s="184"/>
      <x:c r="D53" s="184"/>
      <x:c r="E53" s="184" t="str">
        <x:f>TEXT('日趋势'!A20,"mm-dd")</x:f>
        <x:v>07-03</x:v>
      </x:c>
      <x:c r="F53" s="218" t="n">
        <x:f>'日趋势'!D20</x:f>
        <x:v>0.7328646748681898</x:v>
      </x:c>
      <x:c r="G53" s="218" t="n">
        <x:f>'日趋势'!E20</x:f>
        <x:v>0.1704745166959578</x:v>
      </x:c>
      <x:c r="H53" s="184"/>
      <x:c r="I53" s="184"/>
      <x:c r="J53" s="184"/>
      <x:c r="K53" s="184"/>
      <x:c r="L53" s="184"/>
      <x:c r="M53" s="184"/>
      <x:c r="N53" s="184"/>
    </x:row>
    <x:row r="54">
      <x:c r="A54" s="184"/>
      <x:c r="B54" s="184"/>
      <x:c r="C54" s="184"/>
      <x:c r="D54" s="184"/>
      <x:c r="E54" s="184" t="str">
        <x:f>TEXT('日趋势'!A21,"mm-dd")</x:f>
        <x:v>07-04</x:v>
      </x:c>
      <x:c r="F54" s="218" t="n">
        <x:f>'日趋势'!D21</x:f>
        <x:v>0.7021996615905245</x:v>
      </x:c>
      <x:c r="G54" s="218" t="n">
        <x:f>'日趋势'!E21</x:f>
        <x:v>0.13874788494077833</x:v>
      </x:c>
      <x:c r="H54" s="184"/>
      <x:c r="I54" s="184"/>
      <x:c r="J54" s="184"/>
      <x:c r="K54" s="184"/>
      <x:c r="L54" s="184"/>
      <x:c r="M54" s="184"/>
      <x:c r="N54" s="184"/>
    </x:row>
    <x:row r="55">
      <x:c r="A55" s="184"/>
      <x:c r="B55" s="184"/>
      <x:c r="C55" s="184"/>
      <x:c r="D55" s="184"/>
      <x:c r="E55" s="184" t="str">
        <x:f>TEXT('日趋势'!A22,"mm-dd")</x:f>
        <x:v>07-05</x:v>
      </x:c>
      <x:c r="F55" s="218" t="n">
        <x:f>'日趋势'!D22</x:f>
        <x:v>0.7063063063063063</x:v>
      </x:c>
      <x:c r="G55" s="218" t="n">
        <x:f>'日趋势'!E22</x:f>
        <x:v>0.14234234234234233</x:v>
      </x:c>
      <x:c r="H55" s="184"/>
      <x:c r="I55" s="184"/>
      <x:c r="J55" s="184"/>
      <x:c r="K55" s="184"/>
      <x:c r="L55" s="184"/>
      <x:c r="M55" s="184"/>
      <x:c r="N55" s="184"/>
    </x:row>
    <x:row r="56">
      <x:c r="A56" s="184"/>
      <x:c r="B56" s="184"/>
      <x:c r="C56" s="184"/>
      <x:c r="D56" s="184"/>
      <x:c r="E56" s="184" t="str">
        <x:f>TEXT('日趋势'!A23,"mm-dd")</x:f>
        <x:v>07-06</x:v>
      </x:c>
      <x:c r="F56" s="218" t="n">
        <x:f>'日趋势'!D23</x:f>
        <x:v>0.7057692307692308</x:v>
      </x:c>
      <x:c r="G56" s="218" t="n">
        <x:f>'日趋势'!E23</x:f>
        <x:v>0.15</x:v>
      </x:c>
      <x:c r="H56" s="184"/>
      <x:c r="I56" s="184"/>
      <x:c r="J56" s="184"/>
      <x:c r="K56" s="184"/>
      <x:c r="L56" s="184"/>
      <x:c r="M56" s="184"/>
      <x:c r="N56" s="184"/>
    </x:row>
    <x:row r="57">
      <x:c r="A57" s="184"/>
      <x:c r="B57" s="184"/>
      <x:c r="C57" s="184"/>
      <x:c r="D57" s="184"/>
      <x:c r="E57" s="184" t="str">
        <x:f>TEXT('日趋势'!A24,"mm-dd")</x:f>
        <x:v>07-07</x:v>
      </x:c>
      <x:c r="F57" s="218" t="n">
        <x:f>'日趋势'!D24</x:f>
        <x:v>0.7001733102253033</x:v>
      </x:c>
      <x:c r="G57" s="218" t="n">
        <x:f>'日趋势'!E24</x:f>
        <x:v>0.1663778162911612</x:v>
      </x:c>
      <x:c r="H57" s="184"/>
      <x:c r="I57" s="184"/>
      <x:c r="J57" s="184"/>
      <x:c r="K57" s="184"/>
      <x:c r="L57" s="184"/>
      <x:c r="M57" s="184"/>
      <x:c r="N57" s="184"/>
    </x:row>
    <x:row r="58">
      <x:c r="A58" s="184"/>
      <x:c r="B58" s="184"/>
      <x:c r="C58" s="184"/>
      <x:c r="D58" s="184"/>
      <x:c r="E58" s="184" t="str">
        <x:f>TEXT('日趋势'!A25,"mm-dd")</x:f>
        <x:v>07-08</x:v>
      </x:c>
      <x:c r="F58" s="218" t="n">
        <x:f>'日趋势'!D25</x:f>
        <x:v>0.7011278195488722</x:v>
      </x:c>
      <x:c r="G58" s="218" t="n">
        <x:f>'日趋势'!E25</x:f>
        <x:v>0.15601503759398497</x:v>
      </x:c>
      <x:c r="H58" s="184"/>
      <x:c r="I58" s="184"/>
      <x:c r="J58" s="184"/>
      <x:c r="K58" s="184"/>
      <x:c r="L58" s="184"/>
      <x:c r="M58" s="184"/>
      <x:c r="N58" s="184"/>
    </x:row>
    <x:row r="59">
      <x:c r="A59" s="184"/>
      <x:c r="B59" s="184"/>
      <x:c r="C59" s="184"/>
      <x:c r="D59" s="184"/>
      <x:c r="E59" s="184" t="str">
        <x:f>TEXT('日趋势'!A26,"mm-dd")</x:f>
        <x:v>07-09</x:v>
      </x:c>
      <x:c r="F59" s="218" t="n">
        <x:f>'日趋势'!D26</x:f>
        <x:v>0.687170474516696</x:v>
      </x:c>
      <x:c r="G59" s="218" t="n">
        <x:f>'日趋势'!E26</x:f>
        <x:v>0.13708260105448156</x:v>
      </x:c>
      <x:c r="H59" s="184"/>
      <x:c r="I59" s="184"/>
      <x:c r="J59" s="184"/>
      <x:c r="K59" s="184"/>
      <x:c r="L59" s="184"/>
      <x:c r="M59" s="184"/>
      <x:c r="N59" s="184"/>
    </x:row>
    <x:row r="60">
      <x:c r="A60" s="184"/>
      <x:c r="B60" s="184"/>
      <x:c r="C60" s="184"/>
      <x:c r="D60" s="184"/>
      <x:c r="E60" s="184" t="str">
        <x:f>TEXT('日趋势'!A27,"mm-dd")</x:f>
        <x:v>07-10</x:v>
      </x:c>
      <x:c r="F60" s="218" t="n">
        <x:f>'日趋势'!D27</x:f>
        <x:v>0.6868131868131868</x:v>
      </x:c>
      <x:c r="G60" s="218" t="n">
        <x:f>'日趋势'!E27</x:f>
        <x:v>0.14835164835164835</x:v>
      </x:c>
      <x:c r="H60" s="184"/>
      <x:c r="I60" s="184"/>
      <x:c r="J60" s="184"/>
      <x:c r="K60" s="184"/>
      <x:c r="L60" s="184"/>
      <x:c r="M60" s="184"/>
      <x:c r="N60" s="184"/>
    </x:row>
    <x:row r="61">
      <x:c r="A61" s="184"/>
      <x:c r="B61" s="184"/>
      <x:c r="C61" s="184"/>
      <x:c r="D61" s="184"/>
      <x:c r="E61" s="184" t="str">
        <x:f>TEXT('日趋势'!A28,"mm-dd")</x:f>
        <x:v>07-11</x:v>
      </x:c>
      <x:c r="F61" s="218" t="n">
        <x:f>'日趋势'!D28</x:f>
        <x:v>0.6447761194029851</x:v>
      </x:c>
      <x:c r="G61" s="218" t="n">
        <x:f>'日趋势'!E28</x:f>
        <x:v>0.13432835820895522</x:v>
      </x:c>
      <x:c r="H61" s="184"/>
      <x:c r="I61" s="184"/>
      <x:c r="J61" s="184"/>
      <x:c r="K61" s="184"/>
      <x:c r="L61" s="184"/>
      <x:c r="M61" s="184"/>
      <x:c r="N61" s="184"/>
    </x:row>
    <x:row r="62">
      <x:c r="A62" s="184"/>
      <x:c r="B62" s="184"/>
      <x:c r="C62" s="184"/>
      <x:c r="D62" s="184"/>
      <x:c r="E62" s="184" t="str">
        <x:f>TEXT('日趋势'!A29,"mm-dd")</x:f>
        <x:v>07-12</x:v>
      </x:c>
      <x:c r="F62" s="218" t="n">
        <x:f>'日趋势'!D29</x:f>
        <x:v>0.6666666666666666</x:v>
      </x:c>
      <x:c r="G62" s="218" t="n">
        <x:f>'日趋势'!E29</x:f>
        <x:v>0.1507537688442211</x:v>
      </x:c>
      <x:c r="H62" s="184"/>
      <x:c r="I62" s="184"/>
      <x:c r="J62" s="184"/>
      <x:c r="K62" s="184"/>
      <x:c r="L62" s="184"/>
      <x:c r="M62" s="184"/>
      <x:c r="N62" s="184"/>
    </x:row>
    <x:row r="63">
      <x:c r="A63" s="184"/>
      <x:c r="B63" s="184"/>
      <x:c r="C63" s="184"/>
      <x:c r="D63" s="184"/>
      <x:c r="E63" s="184" t="str">
        <x:f>TEXT('日趋势'!A30,"mm-dd")</x:f>
        <x:v>07-13</x:v>
      </x:c>
      <x:c r="F63" s="218" t="n">
        <x:f>'日趋势'!D30</x:f>
        <x:v>0.6974789915966386</x:v>
      </x:c>
      <x:c r="G63" s="218" t="n">
        <x:f>'日趋势'!E30</x:f>
        <x:v>0.15966386554621848</x:v>
      </x:c>
      <x:c r="H63" s="184"/>
      <x:c r="I63" s="184"/>
      <x:c r="J63" s="184"/>
      <x:c r="K63" s="184"/>
      <x:c r="L63" s="184"/>
      <x:c r="M63" s="184"/>
      <x:c r="N63" s="184"/>
    </x:row>
    <x:row r="64">
      <x:c r="A64" s="184"/>
      <x:c r="B64" s="184"/>
      <x:c r="C64" s="184"/>
      <x:c r="D64" s="184"/>
      <x:c r="E64" s="184" t="str">
        <x:f>TEXT('日趋势'!A31,"mm-dd")</x:f>
        <x:v>07-14</x:v>
      </x:c>
      <x:c r="F64" s="218" t="n">
        <x:f>'日趋势'!D31</x:f>
        <x:v>0.675392670157068</x:v>
      </x:c>
      <x:c r="G64" s="218" t="n">
        <x:f>'日趋势'!E31</x:f>
        <x:v>0.1762652705061082</x:v>
      </x:c>
      <x:c r="H64" s="184"/>
      <x:c r="I64" s="184"/>
      <x:c r="J64" s="184"/>
      <x:c r="K64" s="184"/>
      <x:c r="L64" s="184"/>
      <x:c r="M64" s="184"/>
      <x:c r="N64" s="184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M4:N4"/>
    <x:mergeCell ref="M5:N6"/>
    <x:mergeCell ref="A8:I8"/>
    <x:mergeCell ref="J8:N8"/>
    <x:mergeCell ref="J12:L12"/>
    <x:mergeCell ref="M12:N12"/>
    <x:mergeCell ref="J13:L13"/>
    <x:mergeCell ref="M13:N13"/>
    <x:mergeCell ref="A16:N16"/>
    <x:mergeCell ref="A17:N20"/>
  </x:mergeCells>
  <x:pageMargins left="0.7" right="0.7" top="0.75" bottom="0.75" header="0.3" footer="0.3"/>
  <x:drawing xmlns:r="http://schemas.openxmlformats.org/officeDocument/2006/relationships" r:id="R866d4b36e2a842a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23" hidden="0" customWidth="1"/>
    <x:col min="3" max="3" width="10.779999732971191" hidden="0" customWidth="1"/>
    <x:col min="4" max="4" width="10.779999732971191" hidden="0" customWidth="1"/>
    <x:col min="5" max="5" width="8.670000076293945" hidden="0" customWidth="1"/>
    <x:col min="6" max="6" width="10.779999732971191" hidden="0" customWidth="1"/>
    <x:col min="7" max="7" width="10.779999732971191" hidden="0" customWidth="1"/>
    <x:col min="8" max="8" width="8.670000076293945" hidden="0" customWidth="1"/>
    <x:col min="9" max="9" width="6.559999942779541" hidden="0" customWidth="1"/>
    <x:col min="10" max="10" width="10" hidden="0" customWidth="1"/>
  </x:cols>
  <x:sheetData>
    <x:row r="1">
      <x:c r="A1" s="9" t="str">
        <x:v>事件ID</x:v>
      </x:c>
      <x:c r="B1" s="9" t="str">
        <x:v>模块</x:v>
      </x:c>
      <x:c r="C1" s="9" t="str">
        <x:v>优化前点击UV</x:v>
      </x:c>
      <x:c r="D1" s="9" t="str">
        <x:v>优化前新增UV</x:v>
      </x:c>
      <x:c r="E1" s="9" t="str">
        <x:v>优化前占比</x:v>
      </x:c>
      <x:c r="F1" s="9" t="str">
        <x:v>优化后点击UV</x:v>
      </x:c>
      <x:c r="G1" s="9" t="str">
        <x:v>优化后新增UV</x:v>
      </x:c>
      <x:c r="H1" s="9" t="str">
        <x:v>优化后占比</x:v>
      </x:c>
      <x:c r="I1" s="9" t="str">
        <x:v>变化(pp)</x:v>
      </x:c>
      <x:c r="J1" s="9" t="str">
        <x:v>判断</x:v>
      </x:c>
    </x:row>
    <x:row r="2">
      <x:c r="A2" s="7" t="str">
        <x:v>60101404</x:v>
      </x:c>
      <x:c r="B2" s="7" t="str">
        <x:v>用户启动游戏</x:v>
      </x:c>
      <x:c r="C2" s="5" t="n">
        <x:f>SUMIFS('原始数据'!$E$2:$E$331,'原始数据'!$B$2:$B$331,$A2,'原始数据'!$A$2:$A$331,"&gt;="&amp;DATE(2026,7,1),'原始数据'!$A$2:$A$331,"&lt;="&amp;DATE(2026,7,7))</x:f>
        <x:v>2726</x:v>
      </x:c>
      <x:c r="D2" s="5" t="n">
        <x:f>SUMIFS('原始数据'!$D$2:$D$331,'原始数据'!$B$2:$B$331,$A2,'原始数据'!$A$2:$A$331,"&gt;="&amp;DATE(2026,7,1),'原始数据'!$A$2:$A$331,"&lt;="&amp;DATE(2026,7,7))</x:f>
        <x:v>3883</x:v>
      </x:c>
      <x:c r="E2" s="10" t="n">
        <x:f>C2/D2</x:f>
        <x:v>0.7020345093999485</x:v>
      </x:c>
      <x:c r="F2" s="5" t="n">
        <x:f>SUMIFS('原始数据'!$E$2:$E$331,'原始数据'!$B$2:$B$331,$A2,'原始数据'!$A$2:$A$331,"&gt;="&amp;DATE(2026,7,8),'原始数据'!$A$2:$A$331,"&lt;="&amp;DATE(2026,7,14))</x:f>
        <x:v>2771</x:v>
      </x:c>
      <x:c r="G2" s="5" t="n">
        <x:f>SUMIFS('原始数据'!$D$2:$D$331,'原始数据'!$B$2:$B$331,$A2,'原始数据'!$A$2:$A$331,"&gt;="&amp;DATE(2026,7,8),'原始数据'!$A$2:$A$331,"&lt;="&amp;DATE(2026,7,14))</x:f>
        <x:v>4082</x:v>
      </x:c>
      <x:c r="H2" s="10" t="n">
        <x:f>F2/G2</x:f>
        <x:v>0.6788339049485547</x:v>
      </x:c>
      <x:c r="I2" s="12" t="n">
        <x:f>(H2-E2)*100</x:f>
        <x:v>-2.3200604451393825</x:v>
      </x:c>
      <x:c r="J2" s="7" t="str">
        <x:f>IF(I2&gt;0,"正向",IF(I2&lt;0,"负向","持平"))</x:f>
        <x:v>负向</x:v>
      </x:c>
    </x:row>
    <x:row r="3">
      <x:c r="A3" s="7" t="str">
        <x:v>60100102</x:v>
      </x:c>
      <x:c r="B3" s="7" t="str">
        <x:v>本地热门游戏点击</x:v>
      </x:c>
      <x:c r="C3" s="5" t="n">
        <x:f>SUMIFS('原始数据'!$E$2:$E$331,'原始数据'!$B$2:$B$331,$A3,'原始数据'!$A$2:$A$331,"&gt;="&amp;DATE(2026,7,1),'原始数据'!$A$2:$A$331,"&lt;="&amp;DATE(2026,7,7))</x:f>
        <x:v>570</x:v>
      </x:c>
      <x:c r="D3" s="5" t="n">
        <x:f>SUMIFS('原始数据'!$D$2:$D$331,'原始数据'!$B$2:$B$331,$A3,'原始数据'!$A$2:$A$331,"&gt;="&amp;DATE(2026,7,1),'原始数据'!$A$2:$A$331,"&lt;="&amp;DATE(2026,7,7))</x:f>
        <x:v>3883</x:v>
      </x:c>
      <x:c r="E3" s="10" t="n">
        <x:f>C3/D3</x:f>
        <x:v>0.14679371619881534</x:v>
      </x:c>
      <x:c r="F3" s="5" t="n">
        <x:f>SUMIFS('原始数据'!$E$2:$E$331,'原始数据'!$B$2:$B$331,$A3,'原始数据'!$A$2:$A$331,"&gt;="&amp;DATE(2026,7,8),'原始数据'!$A$2:$A$331,"&lt;="&amp;DATE(2026,7,14))</x:f>
        <x:v>618</x:v>
      </x:c>
      <x:c r="G3" s="5" t="n">
        <x:f>SUMIFS('原始数据'!$D$2:$D$331,'原始数据'!$B$2:$B$331,$A3,'原始数据'!$A$2:$A$331,"&gt;="&amp;DATE(2026,7,8),'原始数据'!$A$2:$A$331,"&lt;="&amp;DATE(2026,7,14))</x:f>
        <x:v>4082</x:v>
      </x:c>
      <x:c r="H3" s="10" t="n">
        <x:f>F3/G3</x:f>
        <x:v>0.15139637432631065</x:v>
      </x:c>
      <x:c r="I3" s="12" t="n">
        <x:f>(H3-E3)*100</x:f>
        <x:v>0.46026581274953016</x:v>
      </x:c>
      <x:c r="J3" s="7" t="str">
        <x:f>IF(I3&gt;0,"正向",IF(I3&lt;0,"负向","持平"))</x:f>
        <x:v>正向</x:v>
      </x:c>
    </x:row>
    <x:row r="4">
      <x:c r="A4" s="7" t="str">
        <x:v>60100103</x:v>
      </x:c>
      <x:c r="B4" s="7" t="str">
        <x:v>推荐列表游戏点击</x:v>
      </x:c>
      <x:c r="C4" s="5" t="n">
        <x:f>SUMIFS('原始数据'!$E$2:$E$331,'原始数据'!$B$2:$B$331,$A4,'原始数据'!$A$2:$A$331,"&gt;="&amp;DATE(2026,7,1),'原始数据'!$A$2:$A$331,"&lt;="&amp;DATE(2026,7,7))</x:f>
        <x:v>33</x:v>
      </x:c>
      <x:c r="D4" s="5" t="n">
        <x:f>SUMIFS('原始数据'!$D$2:$D$331,'原始数据'!$B$2:$B$331,$A4,'原始数据'!$A$2:$A$331,"&gt;="&amp;DATE(2026,7,1),'原始数据'!$A$2:$A$331,"&lt;="&amp;DATE(2026,7,7))</x:f>
        <x:v>3883</x:v>
      </x:c>
      <x:c r="E4" s="10" t="n">
        <x:f>C4/D4</x:f>
        <x:v>0.0084985835694051</x:v>
      </x:c>
      <x:c r="F4" s="5" t="n">
        <x:f>SUMIFS('原始数据'!$E$2:$E$331,'原始数据'!$B$2:$B$331,$A4,'原始数据'!$A$2:$A$331,"&gt;="&amp;DATE(2026,7,8),'原始数据'!$A$2:$A$331,"&lt;="&amp;DATE(2026,7,14))</x:f>
        <x:v>45</x:v>
      </x:c>
      <x:c r="G4" s="5" t="n">
        <x:f>SUMIFS('原始数据'!$D$2:$D$331,'原始数据'!$B$2:$B$331,$A4,'原始数据'!$A$2:$A$331,"&gt;="&amp;DATE(2026,7,8),'原始数据'!$A$2:$A$331,"&lt;="&amp;DATE(2026,7,14))</x:f>
        <x:v>4082</x:v>
      </x:c>
      <x:c r="H4" s="10" t="n">
        <x:f>F4/G4</x:f>
        <x:v>0.011024007839294463</x:v>
      </x:c>
      <x:c r="I4" s="12" t="n">
        <x:f>(H4-E4)*100</x:f>
        <x:v>0.25254242698893625</x:v>
      </x:c>
      <x:c r="J4" s="7" t="str">
        <x:f>IF(I4&gt;0,"正向",IF(I4&lt;0,"负向","持平"))</x:f>
        <x:v>正向</x:v>
      </x:c>
    </x:row>
    <x:row r="5">
      <x:c r="A5" s="7" t="str">
        <x:v>60100201</x:v>
      </x:c>
      <x:c r="B5" s="7" t="str">
        <x:v>首屏banner点击</x:v>
      </x:c>
      <x:c r="C5" s="5" t="n">
        <x:f>SUMIFS('原始数据'!$E$2:$E$331,'原始数据'!$B$2:$B$331,$A5,'原始数据'!$A$2:$A$331,"&gt;="&amp;DATE(2026,7,1),'原始数据'!$A$2:$A$331,"&lt;="&amp;DATE(2026,7,7))</x:f>
        <x:v>24</x:v>
      </x:c>
      <x:c r="D5" s="5" t="n">
        <x:f>SUMIFS('原始数据'!$D$2:$D$331,'原始数据'!$B$2:$B$331,$A5,'原始数据'!$A$2:$A$331,"&gt;="&amp;DATE(2026,7,1),'原始数据'!$A$2:$A$331,"&lt;="&amp;DATE(2026,7,7))</x:f>
        <x:v>3883</x:v>
      </x:c>
      <x:c r="E5" s="10" t="n">
        <x:f>C5/D5</x:f>
        <x:v>0.006180788050476436</x:v>
      </x:c>
      <x:c r="F5" s="5" t="n">
        <x:f>SUMIFS('原始数据'!$E$2:$E$331,'原始数据'!$B$2:$B$331,$A5,'原始数据'!$A$2:$A$331,"&gt;="&amp;DATE(2026,7,8),'原始数据'!$A$2:$A$331,"&lt;="&amp;DATE(2026,7,14))</x:f>
        <x:v>43</x:v>
      </x:c>
      <x:c r="G5" s="5" t="n">
        <x:f>SUMIFS('原始数据'!$D$2:$D$331,'原始数据'!$B$2:$B$331,$A5,'原始数据'!$A$2:$A$331,"&gt;="&amp;DATE(2026,7,8),'原始数据'!$A$2:$A$331,"&lt;="&amp;DATE(2026,7,14))</x:f>
        <x:v>4082</x:v>
      </x:c>
      <x:c r="H5" s="10" t="n">
        <x:f>F5/G5</x:f>
        <x:v>0.010534051935325821</x:v>
      </x:c>
      <x:c r="I5" s="12" t="n">
        <x:f>(H5-E5)*100</x:f>
        <x:v>0.43532638848493854</x:v>
      </x:c>
      <x:c r="J5" s="7" t="str">
        <x:f>IF(I5&gt;0,"正向",IF(I5&lt;0,"负向","持平"))</x:f>
        <x:v>正向</x:v>
      </x:c>
    </x:row>
    <x:row r="6">
      <x:c r="A6" s="7" t="str">
        <x:v>60100301</x:v>
      </x:c>
      <x:c r="B6" s="7" t="str">
        <x:v>次屏banner点击</x:v>
      </x:c>
      <x:c r="C6" s="5" t="n">
        <x:f>SUMIFS('原始数据'!$E$2:$E$331,'原始数据'!$B$2:$B$331,$A6,'原始数据'!$A$2:$A$331,"&gt;="&amp;DATE(2026,7,1),'原始数据'!$A$2:$A$331,"&lt;="&amp;DATE(2026,7,7))</x:f>
        <x:v>5</x:v>
      </x:c>
      <x:c r="D6" s="5" t="n">
        <x:f>SUMIFS('原始数据'!$D$2:$D$331,'原始数据'!$B$2:$B$331,$A6,'原始数据'!$A$2:$A$331,"&gt;="&amp;DATE(2026,7,1),'原始数据'!$A$2:$A$331,"&lt;="&amp;DATE(2026,7,7))</x:f>
        <x:v>3883</x:v>
      </x:c>
      <x:c r="E6" s="10" t="n">
        <x:f>C6/D6</x:f>
        <x:v>0.0012876641771825909</x:v>
      </x:c>
      <x:c r="F6" s="5" t="n">
        <x:f>SUMIFS('原始数据'!$E$2:$E$331,'原始数据'!$B$2:$B$331,$A6,'原始数据'!$A$2:$A$331,"&gt;="&amp;DATE(2026,7,8),'原始数据'!$A$2:$A$331,"&lt;="&amp;DATE(2026,7,14))</x:f>
        <x:v>5</x:v>
      </x:c>
      <x:c r="G6" s="5" t="n">
        <x:f>SUMIFS('原始数据'!$D$2:$D$331,'原始数据'!$B$2:$B$331,$A6,'原始数据'!$A$2:$A$331,"&gt;="&amp;DATE(2026,7,8),'原始数据'!$A$2:$A$331,"&lt;="&amp;DATE(2026,7,14))</x:f>
        <x:v>4082</x:v>
      </x:c>
      <x:c r="H6" s="10" t="n">
        <x:f>F6/G6</x:f>
        <x:v>0.001224889759921607</x:v>
      </x:c>
      <x:c r="I6" s="13" t="n">
        <x:f>(H6-E6)*100</x:f>
        <x:v>-0.006277441726098383</x:v>
      </x:c>
      <x:c r="J6" s="7" t="str">
        <x:f>IF(I6&gt;0,"正向",IF(I6&lt;0,"负向","持平"))</x:f>
        <x:v>负向</x:v>
      </x:c>
    </x:row>
    <x:row r="7">
      <x:c r="A7" s="7" t="str">
        <x:v>60100602</x:v>
      </x:c>
      <x:c r="B7" s="7" t="str">
        <x:v>活动banner点击</x:v>
      </x:c>
      <x:c r="C7" s="5" t="n">
        <x:f>SUMIFS('原始数据'!$E$2:$E$331,'原始数据'!$B$2:$B$331,$A7,'原始数据'!$A$2:$A$331,"&gt;="&amp;DATE(2026,7,1),'原始数据'!$A$2:$A$331,"&lt;="&amp;DATE(2026,7,7))</x:f>
        <x:v>36</x:v>
      </x:c>
      <x:c r="D7" s="5" t="n">
        <x:f>SUMIFS('原始数据'!$D$2:$D$331,'原始数据'!$B$2:$B$331,$A7,'原始数据'!$A$2:$A$331,"&gt;="&amp;DATE(2026,7,1),'原始数据'!$A$2:$A$331,"&lt;="&amp;DATE(2026,7,7))</x:f>
        <x:v>3883</x:v>
      </x:c>
      <x:c r="E7" s="10" t="n">
        <x:f>C7/D7</x:f>
        <x:v>0.009271182075714654</x:v>
      </x:c>
      <x:c r="F7" s="5" t="n">
        <x:f>SUMIFS('原始数据'!$E$2:$E$331,'原始数据'!$B$2:$B$331,$A7,'原始数据'!$A$2:$A$331,"&gt;="&amp;DATE(2026,7,8),'原始数据'!$A$2:$A$331,"&lt;="&amp;DATE(2026,7,14))</x:f>
        <x:v>0</x:v>
      </x:c>
      <x:c r="G7" s="5" t="n">
        <x:f>SUMIFS('原始数据'!$D$2:$D$331,'原始数据'!$B$2:$B$331,$A7,'原始数据'!$A$2:$A$331,"&gt;="&amp;DATE(2026,7,8),'原始数据'!$A$2:$A$331,"&lt;="&amp;DATE(2026,7,14))</x:f>
        <x:v>4082</x:v>
      </x:c>
      <x:c r="H7" s="10" t="n">
        <x:f>F7/G7</x:f>
        <x:v>0</x:v>
      </x:c>
      <x:c r="I7" s="13" t="n">
        <x:f>(H7-E7)*100</x:f>
        <x:v>-0.9271182075714655</x:v>
      </x:c>
      <x:c r="J7" s="7" t="str">
        <x:f>IF(I7&gt;0,"正向",IF(I7&lt;0,"负向","持平"))</x:f>
        <x:v>负向</x:v>
      </x:c>
    </x:row>
    <x:row r="8">
      <x:c r="A8" s="7" t="str">
        <x:v>60100402</x:v>
      </x:c>
      <x:c r="B8" s="7" t="str">
        <x:v>首屏弹窗广告点击</x:v>
      </x:c>
      <x:c r="C8" s="5" t="n">
        <x:f>SUMIFS('原始数据'!$E$2:$E$331,'原始数据'!$B$2:$B$331,$A8,'原始数据'!$A$2:$A$331,"&gt;="&amp;DATE(2026,7,1),'原始数据'!$A$2:$A$331,"&lt;="&amp;DATE(2026,7,7))</x:f>
        <x:v>4</x:v>
      </x:c>
      <x:c r="D8" s="5" t="n">
        <x:f>SUMIFS('原始数据'!$D$2:$D$331,'原始数据'!$B$2:$B$331,$A8,'原始数据'!$A$2:$A$331,"&gt;="&amp;DATE(2026,7,1),'原始数据'!$A$2:$A$331,"&lt;="&amp;DATE(2026,7,7))</x:f>
        <x:v>3883</x:v>
      </x:c>
      <x:c r="E8" s="10" t="n">
        <x:f>C8/D8</x:f>
        <x:v>0.0010301313417460727</x:v>
      </x:c>
      <x:c r="F8" s="5" t="n">
        <x:f>SUMIFS('原始数据'!$E$2:$E$331,'原始数据'!$B$2:$B$331,$A8,'原始数据'!$A$2:$A$331,"&gt;="&amp;DATE(2026,7,8),'原始数据'!$A$2:$A$331,"&lt;="&amp;DATE(2026,7,14))</x:f>
        <x:v>4</x:v>
      </x:c>
      <x:c r="G8" s="5" t="n">
        <x:f>SUMIFS('原始数据'!$D$2:$D$331,'原始数据'!$B$2:$B$331,$A8,'原始数据'!$A$2:$A$331,"&gt;="&amp;DATE(2026,7,8),'原始数据'!$A$2:$A$331,"&lt;="&amp;DATE(2026,7,14))</x:f>
        <x:v>4082</x:v>
      </x:c>
      <x:c r="H8" s="10" t="n">
        <x:f>F8/G8</x:f>
        <x:v>0.0009799118079372856</x:v>
      </x:c>
      <x:c r="I8" s="13" t="n">
        <x:f>(H8-E8)*100</x:f>
        <x:v>-0.0050219533808787105</x:v>
      </x:c>
      <x:c r="J8" s="7" t="str">
        <x:f>IF(I8&gt;0,"正向",IF(I8&lt;0,"负向","持平"))</x:f>
        <x:v>负向</x:v>
      </x:c>
    </x:row>
    <x:row r="9">
      <x:c r="A9" s="7" t="str">
        <x:v>60100703</x:v>
      </x:c>
      <x:c r="B9" s="7" t="str">
        <x:v>搜索游戏点击</x:v>
      </x:c>
      <x:c r="C9" s="5" t="n">
        <x:f>SUMIFS('原始数据'!$E$2:$E$331,'原始数据'!$B$2:$B$331,$A9,'原始数据'!$A$2:$A$331,"&gt;="&amp;DATE(2026,7,1),'原始数据'!$A$2:$A$331,"&lt;="&amp;DATE(2026,7,7))</x:f>
        <x:v>502</x:v>
      </x:c>
      <x:c r="D9" s="5" t="n">
        <x:f>SUMIFS('原始数据'!$D$2:$D$331,'原始数据'!$B$2:$B$331,$A9,'原始数据'!$A$2:$A$331,"&gt;="&amp;DATE(2026,7,1),'原始数据'!$A$2:$A$331,"&lt;="&amp;DATE(2026,7,7))</x:f>
        <x:v>3883</x:v>
      </x:c>
      <x:c r="E9" s="10" t="n">
        <x:f>C9/D9</x:f>
        <x:v>0.12928148338913212</x:v>
      </x:c>
      <x:c r="F9" s="5" t="n">
        <x:f>SUMIFS('原始数据'!$E$2:$E$331,'原始数据'!$B$2:$B$331,$A9,'原始数据'!$A$2:$A$331,"&gt;="&amp;DATE(2026,7,8),'原始数据'!$A$2:$A$331,"&lt;="&amp;DATE(2026,7,14))</x:f>
        <x:v>513</x:v>
      </x:c>
      <x:c r="G9" s="5" t="n">
        <x:f>SUMIFS('原始数据'!$D$2:$D$331,'原始数据'!$B$2:$B$331,$A9,'原始数据'!$A$2:$A$331,"&gt;="&amp;DATE(2026,7,8),'原始数据'!$A$2:$A$331,"&lt;="&amp;DATE(2026,7,14))</x:f>
        <x:v>4082</x:v>
      </x:c>
      <x:c r="H9" s="10" t="n">
        <x:f>F9/G9</x:f>
        <x:v>0.1256736893679569</x:v>
      </x:c>
      <x:c r="I9" s="13" t="n">
        <x:f>(H9-E9)*100</x:f>
        <x:v>-0.3607794021175226</x:v>
      </x:c>
      <x:c r="J9" s="7" t="str">
        <x:f>IF(I9&gt;0,"正向",IF(I9&lt;0,"负向","持平"))</x:f>
        <x:v>负向</x:v>
      </x:c>
    </x:row>
    <x:row r="10">
      <x:c r="A10" s="7" t="str">
        <x:v>60102605</x:v>
      </x:c>
      <x:c r="B10" s="7" t="str">
        <x:v>页签内点击</x:v>
      </x:c>
      <x:c r="C10" s="5" t="n">
        <x:f>SUMIFS('原始数据'!$E$2:$E$331,'原始数据'!$B$2:$B$331,$A10,'原始数据'!$A$2:$A$331,"&gt;="&amp;DATE(2026,7,1),'原始数据'!$A$2:$A$331,"&lt;="&amp;DATE(2026,7,7))</x:f>
        <x:v>155</x:v>
      </x:c>
      <x:c r="D10" s="5" t="n">
        <x:f>SUMIFS('原始数据'!$D$2:$D$331,'原始数据'!$B$2:$B$331,$A10,'原始数据'!$A$2:$A$331,"&gt;="&amp;DATE(2026,7,1),'原始数据'!$A$2:$A$331,"&lt;="&amp;DATE(2026,7,7))</x:f>
        <x:v>3883</x:v>
      </x:c>
      <x:c r="E10" s="10" t="n">
        <x:f>C10/D10</x:f>
        <x:v>0.03991758949266031</x:v>
      </x:c>
      <x:c r="F10" s="5" t="n">
        <x:f>SUMIFS('原始数据'!$E$2:$E$331,'原始数据'!$B$2:$B$331,$A10,'原始数据'!$A$2:$A$331,"&gt;="&amp;DATE(2026,7,8),'原始数据'!$A$2:$A$331,"&lt;="&amp;DATE(2026,7,14))</x:f>
        <x:v>190</x:v>
      </x:c>
      <x:c r="G10" s="5" t="n">
        <x:f>SUMIFS('原始数据'!$D$2:$D$331,'原始数据'!$B$2:$B$331,$A10,'原始数据'!$A$2:$A$331,"&gt;="&amp;DATE(2026,7,8),'原始数据'!$A$2:$A$331,"&lt;="&amp;DATE(2026,7,14))</x:f>
        <x:v>4082</x:v>
      </x:c>
      <x:c r="H10" s="10" t="n">
        <x:f>F10/G10</x:f>
        <x:v>0.04654581087702107</x:v>
      </x:c>
      <x:c r="I10" s="13" t="n">
        <x:f>(H10-E10)*100</x:f>
        <x:v>0.6628221384360755</x:v>
      </x:c>
      <x:c r="J10" s="7" t="str">
        <x:f>IF(I10&gt;0,"正向",IF(I10&lt;0,"负向","持平"))</x:f>
        <x:v>正向</x:v>
      </x:c>
    </x:row>
    <x:row r="11">
      <x:c r="A11" s="7" t="str">
        <x:v>60103909</x:v>
      </x:c>
      <x:c r="B11" s="7" t="str">
        <x:v>游戏模块开始玩点击</x:v>
      </x:c>
      <x:c r="C11" s="5" t="n">
        <x:f>SUMIFS('原始数据'!$E$2:$E$331,'原始数据'!$B$2:$B$331,$A11,'原始数据'!$A$2:$A$331,"&gt;="&amp;DATE(2026,7,1),'原始数据'!$A$2:$A$331,"&lt;="&amp;DATE(2026,7,7))</x:f>
        <x:v>821</x:v>
      </x:c>
      <x:c r="D11" s="5" t="n">
        <x:f>SUMIFS('原始数据'!$D$2:$D$331,'原始数据'!$B$2:$B$331,$A11,'原始数据'!$A$2:$A$331,"&gt;="&amp;DATE(2026,7,1),'原始数据'!$A$2:$A$331,"&lt;="&amp;DATE(2026,7,7))</x:f>
        <x:v>3883</x:v>
      </x:c>
      <x:c r="E11" s="10" t="n">
        <x:f>C11/D11</x:f>
        <x:v>0.21143445789338142</x:v>
      </x:c>
      <x:c r="F11" s="5" t="n">
        <x:f>SUMIFS('原始数据'!$E$2:$E$331,'原始数据'!$B$2:$B$331,$A11,'原始数据'!$A$2:$A$331,"&gt;="&amp;DATE(2026,7,8),'原始数据'!$A$2:$A$331,"&lt;="&amp;DATE(2026,7,14))</x:f>
        <x:v>812</x:v>
      </x:c>
      <x:c r="G11" s="5" t="n">
        <x:f>SUMIFS('原始数据'!$D$2:$D$331,'原始数据'!$B$2:$B$331,$A11,'原始数据'!$A$2:$A$331,"&gt;="&amp;DATE(2026,7,8),'原始数据'!$A$2:$A$331,"&lt;="&amp;DATE(2026,7,14))</x:f>
        <x:v>4082</x:v>
      </x:c>
      <x:c r="H11" s="10" t="n">
        <x:f>F11/G11</x:f>
        <x:v>0.19892209701126898</x:v>
      </x:c>
      <x:c r="I11" s="13" t="n">
        <x:f>(H11-E11)*100</x:f>
        <x:v>-1.2512360882112439</x:v>
      </x:c>
      <x:c r="J11" s="7" t="str">
        <x:f>IF(I11&gt;0,"正向",IF(I11&lt;0,"负向","持平"))</x:f>
        <x:v>负向</x:v>
      </x:c>
    </x:row>
    <x:row r="12">
      <x:c r="A12" s="7" t="str">
        <x:v>60103948</x:v>
      </x:c>
      <x:c r="B12" s="7" t="str">
        <x:v>家乡专区游戏点击</x:v>
      </x:c>
      <x:c r="C12" s="5" t="n">
        <x:f>SUMIFS('原始数据'!$E$2:$E$331,'原始数据'!$B$2:$B$331,$A12,'原始数据'!$A$2:$A$331,"&gt;="&amp;DATE(2026,7,1),'原始数据'!$A$2:$A$331,"&lt;="&amp;DATE(2026,7,7))</x:f>
        <x:v>735</x:v>
      </x:c>
      <x:c r="D12" s="5" t="n">
        <x:f>SUMIFS('原始数据'!$D$2:$D$331,'原始数据'!$B$2:$B$331,$A12,'原始数据'!$A$2:$A$331,"&gt;="&amp;DATE(2026,7,1),'原始数据'!$A$2:$A$331,"&lt;="&amp;DATE(2026,7,7))</x:f>
        <x:v>3883</x:v>
      </x:c>
      <x:c r="E12" s="10" t="n">
        <x:f>C12/D12</x:f>
        <x:v>0.18928663404584084</x:v>
      </x:c>
      <x:c r="F12" s="5" t="n">
        <x:f>SUMIFS('原始数据'!$E$2:$E$331,'原始数据'!$B$2:$B$331,$A12,'原始数据'!$A$2:$A$331,"&gt;="&amp;DATE(2026,7,8),'原始数据'!$A$2:$A$331,"&lt;="&amp;DATE(2026,7,14))</x:f>
        <x:v>755</x:v>
      </x:c>
      <x:c r="G12" s="5" t="n">
        <x:f>SUMIFS('原始数据'!$D$2:$D$331,'原始数据'!$B$2:$B$331,$A12,'原始数据'!$A$2:$A$331,"&gt;="&amp;DATE(2026,7,8),'原始数据'!$A$2:$A$331,"&lt;="&amp;DATE(2026,7,14))</x:f>
        <x:v>4082</x:v>
      </x:c>
      <x:c r="H12" s="10" t="n">
        <x:f>F12/G12</x:f>
        <x:v>0.18495835374816266</x:v>
      </x:c>
      <x:c r="I12" s="13" t="n">
        <x:f>(H12-E12)*100</x:f>
        <x:v>-0.43282802976781776</x:v>
      </x:c>
      <x:c r="J12" s="7" t="str">
        <x:f>IF(I12&gt;0,"正向",IF(I12&lt;0,"负向","持平"))</x:f>
        <x:v>负向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78000020980835" hidden="0" customWidth="1"/>
    <x:col min="2" max="2" width="7" hidden="0" customWidth="1"/>
    <x:col min="3" max="3" width="9.220000267028809" hidden="0" customWidth="1"/>
    <x:col min="4" max="4" width="10.220000267028809" hidden="0" customWidth="1"/>
    <x:col min="5" max="5" width="13.5600004196167" hidden="0" customWidth="1"/>
    <x:col min="6" max="6" width="14.4399995803833" hidden="0" customWidth="1"/>
    <x:col min="7" max="7" width="14" hidden="0" customWidth="1"/>
  </x:cols>
  <x:sheetData>
    <x:row r="1">
      <x:c r="A1" s="3" t="str">
        <x:v>日期</x:v>
      </x:c>
      <x:c r="B1" s="3" t="str">
        <x:v>新增用户</x:v>
      </x:c>
      <x:c r="C1" s="3" t="str">
        <x:v>启动游戏UV</x:v>
      </x:c>
      <x:c r="D1" s="3" t="str">
        <x:v>启动游戏占比</x:v>
      </x:c>
      <x:c r="E1" s="3" t="str">
        <x:v>本地热门点击占比</x:v>
      </x:c>
      <x:c r="F1" s="3" t="str">
        <x:v>活动Banner点击UV</x:v>
      </x:c>
      <x:c r="G1" s="3" t="str">
        <x:v>活动Banner投放</x:v>
      </x:c>
    </x:row>
    <x:row r="2">
      <x:c r="A2" s="14" t="n">
        <x:v>46188</x:v>
      </x:c>
      <x:c r="B2" s="5" t="n">
        <x:f>SUMIFS('原始数据'!$D$2:$D$331,'原始数据'!$B$2:$B$331,"60101404",'原始数据'!$A$2:$A$331,A2)</x:f>
        <x:v>517</x:v>
      </x:c>
      <x:c r="C2" s="5" t="n">
        <x:f>SUMIFS('原始数据'!$E$2:$E$331,'原始数据'!$B$2:$B$331,"60101404",'原始数据'!$A$2:$A$331,A2)</x:f>
        <x:v>317</x:v>
      </x:c>
      <x:c r="D2" s="10" t="n">
        <x:f>C2/B2</x:f>
        <x:v>0.6131528046421664</x:v>
      </x:c>
      <x:c r="E2" s="10" t="n">
        <x:f>SUMIFS('原始数据'!$E$2:$E$331,'原始数据'!$B$2:$B$331,"60100102",'原始数据'!$A$2:$A$331,A2)/B2</x:f>
        <x:v>0.07736943907156674</x:v>
      </x:c>
      <x:c r="F2" s="7" t="n">
        <x:f>SUMIFS('原始数据'!$E$2:$E$331,'原始数据'!$B$2:$B$331,"60100602",'原始数据'!$A$2:$A$331,A2)</x:f>
        <x:v>0</x:v>
      </x:c>
      <x:c r="G2" s="7" t="str">
        <x:f>IF(F2&gt;0,"有投放","无投放")</x:f>
        <x:v>无投放</x:v>
      </x:c>
    </x:row>
    <x:row r="3">
      <x:c r="A3" s="14" t="n">
        <x:v>46189</x:v>
      </x:c>
      <x:c r="B3" s="5" t="n">
        <x:f>SUMIFS('原始数据'!$D$2:$D$331,'原始数据'!$B$2:$B$331,"60101404",'原始数据'!$A$2:$A$331,A3)</x:f>
        <x:v>473</x:v>
      </x:c>
      <x:c r="C3" s="5" t="n">
        <x:f>SUMIFS('原始数据'!$E$2:$E$331,'原始数据'!$B$2:$B$331,"60101404",'原始数据'!$A$2:$A$331,A3)</x:f>
        <x:v>341</x:v>
      </x:c>
      <x:c r="D3" s="10" t="n">
        <x:f>C3/B3</x:f>
        <x:v>0.7209302325581395</x:v>
      </x:c>
      <x:c r="E3" s="10" t="n">
        <x:f>SUMIFS('原始数据'!$E$2:$E$331,'原始数据'!$B$2:$B$331,"60100102",'原始数据'!$A$2:$A$331,A3)/B3</x:f>
        <x:v>0.0824524312896406</x:v>
      </x:c>
      <x:c r="F3" s="7" t="n">
        <x:f>SUMIFS('原始数据'!$E$2:$E$331,'原始数据'!$B$2:$B$331,"60100602",'原始数据'!$A$2:$A$331,A3)</x:f>
        <x:v>0</x:v>
      </x:c>
      <x:c r="G3" s="7" t="str">
        <x:f>IF(F3&gt;0,"有投放","无投放")</x:f>
        <x:v>无投放</x:v>
      </x:c>
    </x:row>
    <x:row r="4">
      <x:c r="A4" s="14" t="n">
        <x:v>46190</x:v>
      </x:c>
      <x:c r="B4" s="5" t="n">
        <x:f>SUMIFS('原始数据'!$D$2:$D$331,'原始数据'!$B$2:$B$331,"60101404",'原始数据'!$A$2:$A$331,A4)</x:f>
        <x:v>498</x:v>
      </x:c>
      <x:c r="C4" s="5" t="n">
        <x:f>SUMIFS('原始数据'!$E$2:$E$331,'原始数据'!$B$2:$B$331,"60101404",'原始数据'!$A$2:$A$331,A4)</x:f>
        <x:v>342</x:v>
      </x:c>
      <x:c r="D4" s="10" t="n">
        <x:f>C4/B4</x:f>
        <x:v>0.6867469879518072</x:v>
      </x:c>
      <x:c r="E4" s="10" t="n">
        <x:f>SUMIFS('原始数据'!$E$2:$E$331,'原始数据'!$B$2:$B$331,"60100102",'原始数据'!$A$2:$A$331,A4)/B4</x:f>
        <x:v>0.10642570281124498</x:v>
      </x:c>
      <x:c r="F4" s="7" t="n">
        <x:f>SUMIFS('原始数据'!$E$2:$E$331,'原始数据'!$B$2:$B$331,"60100602",'原始数据'!$A$2:$A$331,A4)</x:f>
        <x:v>0</x:v>
      </x:c>
      <x:c r="G4" s="7" t="str">
        <x:f>IF(F4&gt;0,"有投放","无投放")</x:f>
        <x:v>无投放</x:v>
      </x:c>
    </x:row>
    <x:row r="5">
      <x:c r="A5" s="14" t="n">
        <x:v>46191</x:v>
      </x:c>
      <x:c r="B5" s="5" t="n">
        <x:f>SUMIFS('原始数据'!$D$2:$D$331,'原始数据'!$B$2:$B$331,"60101404",'原始数据'!$A$2:$A$331,A5)</x:f>
        <x:v>545</x:v>
      </x:c>
      <x:c r="C5" s="5" t="n">
        <x:f>SUMIFS('原始数据'!$E$2:$E$331,'原始数据'!$B$2:$B$331,"60101404",'原始数据'!$A$2:$A$331,A5)</x:f>
        <x:v>381</x:v>
      </x:c>
      <x:c r="D5" s="10" t="n">
        <x:f>C5/B5</x:f>
        <x:v>0.6990825688073394</x:v>
      </x:c>
      <x:c r="E5" s="10" t="n">
        <x:f>SUMIFS('原始数据'!$E$2:$E$331,'原始数据'!$B$2:$B$331,"60100102",'原始数据'!$A$2:$A$331,A5)/B5</x:f>
        <x:v>0.13761467889908258</x:v>
      </x:c>
      <x:c r="F5" s="7" t="n">
        <x:f>SUMIFS('原始数据'!$E$2:$E$331,'原始数据'!$B$2:$B$331,"60100602",'原始数据'!$A$2:$A$331,A5)</x:f>
        <x:v>0</x:v>
      </x:c>
      <x:c r="G5" s="7" t="str">
        <x:f>IF(F5&gt;0,"有投放","无投放")</x:f>
        <x:v>无投放</x:v>
      </x:c>
    </x:row>
    <x:row r="6">
      <x:c r="A6" s="14" t="n">
        <x:v>46192</x:v>
      </x:c>
      <x:c r="B6" s="5" t="n">
        <x:f>SUMIFS('原始数据'!$D$2:$D$331,'原始数据'!$B$2:$B$331,"60101404",'原始数据'!$A$2:$A$331,A6)</x:f>
        <x:v>646</x:v>
      </x:c>
      <x:c r="C6" s="5" t="n">
        <x:f>SUMIFS('原始数据'!$E$2:$E$331,'原始数据'!$B$2:$B$331,"60101404",'原始数据'!$A$2:$A$331,A6)</x:f>
        <x:v>454</x:v>
      </x:c>
      <x:c r="D6" s="10" t="n">
        <x:f>C6/B6</x:f>
        <x:v>0.7027863777089783</x:v>
      </x:c>
      <x:c r="E6" s="10" t="n">
        <x:f>SUMIFS('原始数据'!$E$2:$E$331,'原始数据'!$B$2:$B$331,"60100102",'原始数据'!$A$2:$A$331,A6)/B6</x:f>
        <x:v>0.12693498452012383</x:v>
      </x:c>
      <x:c r="F6" s="7" t="n">
        <x:f>SUMIFS('原始数据'!$E$2:$E$331,'原始数据'!$B$2:$B$331,"60100602",'原始数据'!$A$2:$A$331,A6)</x:f>
        <x:v>13</x:v>
      </x:c>
      <x:c r="G6" s="7" t="str">
        <x:f>IF(F6&gt;0,"有投放","无投放")</x:f>
        <x:v>有投放</x:v>
      </x:c>
    </x:row>
    <x:row r="7">
      <x:c r="A7" s="14" t="n">
        <x:v>46193</x:v>
      </x:c>
      <x:c r="B7" s="5" t="n">
        <x:f>SUMIFS('原始数据'!$D$2:$D$331,'原始数据'!$B$2:$B$331,"60101404",'原始数据'!$A$2:$A$331,A7)</x:f>
        <x:v>579</x:v>
      </x:c>
      <x:c r="C7" s="5" t="n">
        <x:f>SUMIFS('原始数据'!$E$2:$E$331,'原始数据'!$B$2:$B$331,"60101404",'原始数据'!$A$2:$A$331,A7)</x:f>
        <x:v>406</x:v>
      </x:c>
      <x:c r="D7" s="10" t="n">
        <x:f>C7/B7</x:f>
        <x:v>0.7012089810017271</x:v>
      </x:c>
      <x:c r="E7" s="10" t="n">
        <x:f>SUMIFS('原始数据'!$E$2:$E$331,'原始数据'!$B$2:$B$331,"60100102",'原始数据'!$A$2:$A$331,A7)/B7</x:f>
        <x:v>0.15544041450777202</x:v>
      </x:c>
      <x:c r="F7" s="7" t="n">
        <x:f>SUMIFS('原始数据'!$E$2:$E$331,'原始数据'!$B$2:$B$331,"60100602",'原始数据'!$A$2:$A$331,A7)</x:f>
        <x:v>9</x:v>
      </x:c>
      <x:c r="G7" s="7" t="str">
        <x:f>IF(F7&gt;0,"有投放","无投放")</x:f>
        <x:v>有投放</x:v>
      </x:c>
    </x:row>
    <x:row r="8">
      <x:c r="A8" s="14" t="n">
        <x:v>46194</x:v>
      </x:c>
      <x:c r="B8" s="5" t="n">
        <x:f>SUMIFS('原始数据'!$D$2:$D$331,'原始数据'!$B$2:$B$331,"60101404",'原始数据'!$A$2:$A$331,A8)</x:f>
        <x:v>579</x:v>
      </x:c>
      <x:c r="C8" s="5" t="n">
        <x:f>SUMIFS('原始数据'!$E$2:$E$331,'原始数据'!$B$2:$B$331,"60101404",'原始数据'!$A$2:$A$331,A8)</x:f>
        <x:v>395</x:v>
      </x:c>
      <x:c r="D8" s="10" t="n">
        <x:f>C8/B8</x:f>
        <x:v>0.6822107081174439</x:v>
      </x:c>
      <x:c r="E8" s="10" t="n">
        <x:f>SUMIFS('原始数据'!$E$2:$E$331,'原始数据'!$B$2:$B$331,"60100102",'原始数据'!$A$2:$A$331,A8)/B8</x:f>
        <x:v>0.13471502590673576</x:v>
      </x:c>
      <x:c r="F8" s="7" t="n">
        <x:f>SUMIFS('原始数据'!$E$2:$E$331,'原始数据'!$B$2:$B$331,"60100602",'原始数据'!$A$2:$A$331,A8)</x:f>
        <x:v>12</x:v>
      </x:c>
      <x:c r="G8" s="7" t="str">
        <x:f>IF(F8&gt;0,"有投放","无投放")</x:f>
        <x:v>有投放</x:v>
      </x:c>
    </x:row>
    <x:row r="9">
      <x:c r="A9" s="14" t="n">
        <x:v>46195</x:v>
      </x:c>
      <x:c r="B9" s="5" t="n">
        <x:f>SUMIFS('原始数据'!$D$2:$D$331,'原始数据'!$B$2:$B$331,"60101404",'原始数据'!$A$2:$A$331,A9)</x:f>
        <x:v>536</x:v>
      </x:c>
      <x:c r="C9" s="5" t="n">
        <x:f>SUMIFS('原始数据'!$E$2:$E$331,'原始数据'!$B$2:$B$331,"60101404",'原始数据'!$A$2:$A$331,A9)</x:f>
        <x:v>357</x:v>
      </x:c>
      <x:c r="D9" s="10" t="n">
        <x:f>C9/B9</x:f>
        <x:v>0.6660447761194029</x:v>
      </x:c>
      <x:c r="E9" s="10" t="n">
        <x:f>SUMIFS('原始数据'!$E$2:$E$331,'原始数据'!$B$2:$B$331,"60100102",'原始数据'!$A$2:$A$331,A9)/B9</x:f>
        <x:v>0.14738805970149255</x:v>
      </x:c>
      <x:c r="F9" s="7" t="n">
        <x:f>SUMIFS('原始数据'!$E$2:$E$331,'原始数据'!$B$2:$B$331,"60100602",'原始数据'!$A$2:$A$331,A9)</x:f>
        <x:v>0</x:v>
      </x:c>
      <x:c r="G9" s="7" t="str">
        <x:f>IF(F9&gt;0,"有投放","无投放")</x:f>
        <x:v>无投放</x:v>
      </x:c>
    </x:row>
    <x:row r="10">
      <x:c r="A10" s="14" t="n">
        <x:v>46196</x:v>
      </x:c>
      <x:c r="B10" s="5" t="n">
        <x:f>SUMIFS('原始数据'!$D$2:$D$331,'原始数据'!$B$2:$B$331,"60101404",'原始数据'!$A$2:$A$331,A10)</x:f>
        <x:v>520</x:v>
      </x:c>
      <x:c r="C10" s="5" t="n">
        <x:f>SUMIFS('原始数据'!$E$2:$E$331,'原始数据'!$B$2:$B$331,"60101404",'原始数据'!$A$2:$A$331,A10)</x:f>
        <x:v>351</x:v>
      </x:c>
      <x:c r="D10" s="10" t="n">
        <x:f>C10/B10</x:f>
        <x:v>0.675</x:v>
      </x:c>
      <x:c r="E10" s="10" t="n">
        <x:f>SUMIFS('原始数据'!$E$2:$E$331,'原始数据'!$B$2:$B$331,"60100102",'原始数据'!$A$2:$A$331,A10)/B10</x:f>
        <x:v>0.12884615384615383</x:v>
      </x:c>
      <x:c r="F10" s="7" t="n">
        <x:f>SUMIFS('原始数据'!$E$2:$E$331,'原始数据'!$B$2:$B$331,"60100602",'原始数据'!$A$2:$A$331,A10)</x:f>
        <x:v>0</x:v>
      </x:c>
      <x:c r="G10" s="7" t="str">
        <x:f>IF(F10&gt;0,"有投放","无投放")</x:f>
        <x:v>无投放</x:v>
      </x:c>
    </x:row>
    <x:row r="11">
      <x:c r="A11" s="14" t="n">
        <x:v>46197</x:v>
      </x:c>
      <x:c r="B11" s="5" t="n">
        <x:f>SUMIFS('原始数据'!$D$2:$D$331,'原始数据'!$B$2:$B$331,"60101404",'原始数据'!$A$2:$A$331,A11)</x:f>
        <x:v>547</x:v>
      </x:c>
      <x:c r="C11" s="5" t="n">
        <x:f>SUMIFS('原始数据'!$E$2:$E$331,'原始数据'!$B$2:$B$331,"60101404",'原始数据'!$A$2:$A$331,A11)</x:f>
        <x:v>376</x:v>
      </x:c>
      <x:c r="D11" s="10" t="n">
        <x:f>C11/B11</x:f>
        <x:v>0.6873857404021938</x:v>
      </x:c>
      <x:c r="E11" s="10" t="n">
        <x:f>SUMIFS('原始数据'!$E$2:$E$331,'原始数据'!$B$2:$B$331,"60100102",'原始数据'!$A$2:$A$331,A11)/B11</x:f>
        <x:v>0.14442413162705667</x:v>
      </x:c>
      <x:c r="F11" s="7" t="n">
        <x:f>SUMIFS('原始数据'!$E$2:$E$331,'原始数据'!$B$2:$B$331,"60100602",'原始数据'!$A$2:$A$331,A11)</x:f>
        <x:v>0</x:v>
      </x:c>
      <x:c r="G11" s="7" t="str">
        <x:f>IF(F11&gt;0,"有投放","无投放")</x:f>
        <x:v>无投放</x:v>
      </x:c>
    </x:row>
    <x:row r="12">
      <x:c r="A12" s="14" t="n">
        <x:v>46198</x:v>
      </x:c>
      <x:c r="B12" s="5" t="n">
        <x:f>SUMIFS('原始数据'!$D$2:$D$331,'原始数据'!$B$2:$B$331,"60101404",'原始数据'!$A$2:$A$331,A12)</x:f>
        <x:v>518</x:v>
      </x:c>
      <x:c r="C12" s="5" t="n">
        <x:f>SUMIFS('原始数据'!$E$2:$E$331,'原始数据'!$B$2:$B$331,"60101404",'原始数据'!$A$2:$A$331,A12)</x:f>
        <x:v>356</x:v>
      </x:c>
      <x:c r="D12" s="10" t="n">
        <x:f>C12/B12</x:f>
        <x:v>0.6872586872586872</x:v>
      </x:c>
      <x:c r="E12" s="10" t="n">
        <x:f>SUMIFS('原始数据'!$E$2:$E$331,'原始数据'!$B$2:$B$331,"60100102",'原始数据'!$A$2:$A$331,A12)/B12</x:f>
        <x:v>0.14864864864864866</x:v>
      </x:c>
      <x:c r="F12" s="7" t="n">
        <x:f>SUMIFS('原始数据'!$E$2:$E$331,'原始数据'!$B$2:$B$331,"60100602",'原始数据'!$A$2:$A$331,A12)</x:f>
        <x:v>0</x:v>
      </x:c>
      <x:c r="G12" s="7" t="str">
        <x:f>IF(F12&gt;0,"有投放","无投放")</x:f>
        <x:v>无投放</x:v>
      </x:c>
    </x:row>
    <x:row r="13">
      <x:c r="A13" s="14" t="n">
        <x:v>46199</x:v>
      </x:c>
      <x:c r="B13" s="5" t="n">
        <x:f>SUMIFS('原始数据'!$D$2:$D$331,'原始数据'!$B$2:$B$331,"60101404",'原始数据'!$A$2:$A$331,A13)</x:f>
        <x:v>529</x:v>
      </x:c>
      <x:c r="C13" s="5" t="n">
        <x:f>SUMIFS('原始数据'!$E$2:$E$331,'原始数据'!$B$2:$B$331,"60101404",'原始数据'!$A$2:$A$331,A13)</x:f>
        <x:v>375</x:v>
      </x:c>
      <x:c r="D13" s="10" t="n">
        <x:f>C13/B13</x:f>
        <x:v>0.7088846880907372</x:v>
      </x:c>
      <x:c r="E13" s="10" t="n">
        <x:f>SUMIFS('原始数据'!$E$2:$E$331,'原始数据'!$B$2:$B$331,"60100102",'原始数据'!$A$2:$A$331,A13)/B13</x:f>
        <x:v>0.13988657844990549</x:v>
      </x:c>
      <x:c r="F13" s="7" t="n">
        <x:f>SUMIFS('原始数据'!$E$2:$E$331,'原始数据'!$B$2:$B$331,"60100602",'原始数据'!$A$2:$A$331,A13)</x:f>
        <x:v>0</x:v>
      </x:c>
      <x:c r="G13" s="7" t="str">
        <x:f>IF(F13&gt;0,"有投放","无投放")</x:f>
        <x:v>无投放</x:v>
      </x:c>
    </x:row>
    <x:row r="14">
      <x:c r="A14" s="14" t="n">
        <x:v>46200</x:v>
      </x:c>
      <x:c r="B14" s="5" t="n">
        <x:f>SUMIFS('原始数据'!$D$2:$D$331,'原始数据'!$B$2:$B$331,"60101404",'原始数据'!$A$2:$A$331,A14)</x:f>
        <x:v>494</x:v>
      </x:c>
      <x:c r="C14" s="5" t="n">
        <x:f>SUMIFS('原始数据'!$E$2:$E$331,'原始数据'!$B$2:$B$331,"60101404",'原始数据'!$A$2:$A$331,A14)</x:f>
        <x:v>331</x:v>
      </x:c>
      <x:c r="D14" s="10" t="n">
        <x:f>C14/B14</x:f>
        <x:v>0.6700404858299596</x:v>
      </x:c>
      <x:c r="E14" s="10" t="n">
        <x:f>SUMIFS('原始数据'!$E$2:$E$331,'原始数据'!$B$2:$B$331,"60100102",'原始数据'!$A$2:$A$331,A14)/B14</x:f>
        <x:v>0.1396761133603239</x:v>
      </x:c>
      <x:c r="F14" s="7" t="n">
        <x:f>SUMIFS('原始数据'!$E$2:$E$331,'原始数据'!$B$2:$B$331,"60100602",'原始数据'!$A$2:$A$331,A14)</x:f>
        <x:v>0</x:v>
      </x:c>
      <x:c r="G14" s="7" t="str">
        <x:f>IF(F14&gt;0,"有投放","无投放")</x:f>
        <x:v>无投放</x:v>
      </x:c>
    </x:row>
    <x:row r="15">
      <x:c r="A15" s="14" t="n">
        <x:v>46201</x:v>
      </x:c>
      <x:c r="B15" s="5" t="n">
        <x:f>SUMIFS('原始数据'!$D$2:$D$331,'原始数据'!$B$2:$B$331,"60101404",'原始数据'!$A$2:$A$331,A15)</x:f>
        <x:v>556</x:v>
      </x:c>
      <x:c r="C15" s="5" t="n">
        <x:f>SUMIFS('原始数据'!$E$2:$E$331,'原始数据'!$B$2:$B$331,"60101404",'原始数据'!$A$2:$A$331,A15)</x:f>
        <x:v>394</x:v>
      </x:c>
      <x:c r="D15" s="10" t="n">
        <x:f>C15/B15</x:f>
        <x:v>0.7086330935251799</x:v>
      </x:c>
      <x:c r="E15" s="10" t="n">
        <x:f>SUMIFS('原始数据'!$E$2:$E$331,'原始数据'!$B$2:$B$331,"60100102",'原始数据'!$A$2:$A$331,A15)/B15</x:f>
        <x:v>0.12410071942446044</x:v>
      </x:c>
      <x:c r="F15" s="7" t="n">
        <x:f>SUMIFS('原始数据'!$E$2:$E$331,'原始数据'!$B$2:$B$331,"60100602",'原始数据'!$A$2:$A$331,A15)</x:f>
        <x:v>0</x:v>
      </x:c>
      <x:c r="G15" s="7" t="str">
        <x:f>IF(F15&gt;0,"有投放","无投放")</x:f>
        <x:v>无投放</x:v>
      </x:c>
    </x:row>
    <x:row r="16">
      <x:c r="A16" s="14" t="n">
        <x:v>46202</x:v>
      </x:c>
      <x:c r="B16" s="5" t="n">
        <x:f>SUMIFS('原始数据'!$D$2:$D$331,'原始数据'!$B$2:$B$331,"60101404",'原始数据'!$A$2:$A$331,A16)</x:f>
        <x:v>552</x:v>
      </x:c>
      <x:c r="C16" s="5" t="n">
        <x:f>SUMIFS('原始数据'!$E$2:$E$331,'原始数据'!$B$2:$B$331,"60101404",'原始数据'!$A$2:$A$331,A16)</x:f>
        <x:v>388</x:v>
      </x:c>
      <x:c r="D16" s="10" t="n">
        <x:f>C16/B16</x:f>
        <x:v>0.7028985507246377</x:v>
      </x:c>
      <x:c r="E16" s="10" t="n">
        <x:f>SUMIFS('原始数据'!$E$2:$E$331,'原始数据'!$B$2:$B$331,"60100102",'原始数据'!$A$2:$A$331,A16)/B16</x:f>
        <x:v>0.12318840579710146</x:v>
      </x:c>
      <x:c r="F16" s="7" t="n">
        <x:f>SUMIFS('原始数据'!$E$2:$E$331,'原始数据'!$B$2:$B$331,"60100602",'原始数据'!$A$2:$A$331,A16)</x:f>
        <x:v>0</x:v>
      </x:c>
      <x:c r="G16" s="7" t="str">
        <x:f>IF(F16&gt;0,"有投放","无投放")</x:f>
        <x:v>无投放</x:v>
      </x:c>
    </x:row>
    <x:row r="17">
      <x:c r="A17" s="14" t="n">
        <x:v>46203</x:v>
      </x:c>
      <x:c r="B17" s="5" t="n">
        <x:f>SUMIFS('原始数据'!$D$2:$D$331,'原始数据'!$B$2:$B$331,"60101404",'原始数据'!$A$2:$A$331,A17)</x:f>
        <x:v>537</x:v>
      </x:c>
      <x:c r="C17" s="5" t="n">
        <x:f>SUMIFS('原始数据'!$E$2:$E$331,'原始数据'!$B$2:$B$331,"60101404",'原始数据'!$A$2:$A$331,A17)</x:f>
        <x:v>368</x:v>
      </x:c>
      <x:c r="D17" s="10" t="n">
        <x:f>C17/B17</x:f>
        <x:v>0.6852886405959032</x:v>
      </x:c>
      <x:c r="E17" s="10" t="n">
        <x:f>SUMIFS('原始数据'!$E$2:$E$331,'原始数据'!$B$2:$B$331,"60100102",'原始数据'!$A$2:$A$331,A17)/B17</x:f>
        <x:v>0.15083798882681565</x:v>
      </x:c>
      <x:c r="F17" s="7" t="n">
        <x:f>SUMIFS('原始数据'!$E$2:$E$331,'原始数据'!$B$2:$B$331,"60100602",'原始数据'!$A$2:$A$331,A17)</x:f>
        <x:v>0</x:v>
      </x:c>
      <x:c r="G17" s="7" t="str">
        <x:f>IF(F17&gt;0,"有投放","无投放")</x:f>
        <x:v>无投放</x:v>
      </x:c>
    </x:row>
    <x:row r="18">
      <x:c r="A18" s="14" t="n">
        <x:v>46204</x:v>
      </x:c>
      <x:c r="B18" s="5" t="n">
        <x:f>SUMIFS('原始数据'!$D$2:$D$331,'原始数据'!$B$2:$B$331,"60101404",'原始数据'!$A$2:$A$331,A18)</x:f>
        <x:v>529</x:v>
      </x:c>
      <x:c r="C18" s="5" t="n">
        <x:f>SUMIFS('原始数据'!$E$2:$E$331,'原始数据'!$B$2:$B$331,"60101404",'原始数据'!$A$2:$A$331,A18)</x:f>
        <x:v>354</x:v>
      </x:c>
      <x:c r="D18" s="10" t="n">
        <x:f>C18/B18</x:f>
        <x:v>0.6691871455576559</x:v>
      </x:c>
      <x:c r="E18" s="10" t="n">
        <x:f>SUMIFS('原始数据'!$E$2:$E$331,'原始数据'!$B$2:$B$331,"60100102",'原始数据'!$A$2:$A$331,A18)/B18</x:f>
        <x:v>0.1342155009451796</x:v>
      </x:c>
      <x:c r="F18" s="7" t="n">
        <x:f>SUMIFS('原始数据'!$E$2:$E$331,'原始数据'!$B$2:$B$331,"60100602",'原始数据'!$A$2:$A$331,A18)</x:f>
        <x:v>0</x:v>
      </x:c>
      <x:c r="G18" s="7" t="str">
        <x:f>IF(F18&gt;0,"有投放","无投放")</x:f>
        <x:v>无投放</x:v>
      </x:c>
    </x:row>
    <x:row r="19">
      <x:c r="A19" s="14" t="n">
        <x:v>46205</x:v>
      </x:c>
      <x:c r="B19" s="5" t="n">
        <x:f>SUMIFS('原始数据'!$D$2:$D$331,'原始数据'!$B$2:$B$331,"60101404",'原始数据'!$A$2:$A$331,A19)</x:f>
        <x:v>542</x:v>
      </x:c>
      <x:c r="C19" s="5" t="n">
        <x:f>SUMIFS('原始数据'!$E$2:$E$331,'原始数据'!$B$2:$B$331,"60101404",'原始数据'!$A$2:$A$331,A19)</x:f>
        <x:v>377</x:v>
      </x:c>
      <x:c r="D19" s="10" t="n">
        <x:f>C19/B19</x:f>
        <x:v>0.6955719557195572</x:v>
      </x:c>
      <x:c r="E19" s="10" t="n">
        <x:f>SUMIFS('原始数据'!$E$2:$E$331,'原始数据'!$B$2:$B$331,"60100102",'原始数据'!$A$2:$A$331,A19)/B19</x:f>
        <x:v>0.12361623616236163</x:v>
      </x:c>
      <x:c r="F19" s="7" t="n">
        <x:f>SUMIFS('原始数据'!$E$2:$E$331,'原始数据'!$B$2:$B$331,"60100602",'原始数据'!$A$2:$A$331,A19)</x:f>
        <x:v>0</x:v>
      </x:c>
      <x:c r="G19" s="7" t="str">
        <x:f>IF(F19&gt;0,"有投放","无投放")</x:f>
        <x:v>无投放</x:v>
      </x:c>
    </x:row>
    <x:row r="20">
      <x:c r="A20" s="14" t="n">
        <x:v>46206</x:v>
      </x:c>
      <x:c r="B20" s="5" t="n">
        <x:f>SUMIFS('原始数据'!$D$2:$D$331,'原始数据'!$B$2:$B$331,"60101404",'原始数据'!$A$2:$A$331,A20)</x:f>
        <x:v>569</x:v>
      </x:c>
      <x:c r="C20" s="5" t="n">
        <x:f>SUMIFS('原始数据'!$E$2:$E$331,'原始数据'!$B$2:$B$331,"60101404",'原始数据'!$A$2:$A$331,A20)</x:f>
        <x:v>417</x:v>
      </x:c>
      <x:c r="D20" s="10" t="n">
        <x:f>C20/B20</x:f>
        <x:v>0.7328646748681898</x:v>
      </x:c>
      <x:c r="E20" s="10" t="n">
        <x:f>SUMIFS('原始数据'!$E$2:$E$331,'原始数据'!$B$2:$B$331,"60100102",'原始数据'!$A$2:$A$331,A20)/B20</x:f>
        <x:v>0.1704745166959578</x:v>
      </x:c>
      <x:c r="F20" s="7" t="n">
        <x:f>SUMIFS('原始数据'!$E$2:$E$331,'原始数据'!$B$2:$B$331,"60100602",'原始数据'!$A$2:$A$331,A20)</x:f>
        <x:v>10</x:v>
      </x:c>
      <x:c r="G20" s="7" t="str">
        <x:f>IF(F20&gt;0,"有投放","无投放")</x:f>
        <x:v>有投放</x:v>
      </x:c>
    </x:row>
    <x:row r="21">
      <x:c r="A21" s="14" t="n">
        <x:v>46207</x:v>
      </x:c>
      <x:c r="B21" s="5" t="n">
        <x:f>SUMIFS('原始数据'!$D$2:$D$331,'原始数据'!$B$2:$B$331,"60101404",'原始数据'!$A$2:$A$331,A21)</x:f>
        <x:v>591</x:v>
      </x:c>
      <x:c r="C21" s="5" t="n">
        <x:f>SUMIFS('原始数据'!$E$2:$E$331,'原始数据'!$B$2:$B$331,"60101404",'原始数据'!$A$2:$A$331,A21)</x:f>
        <x:v>415</x:v>
      </x:c>
      <x:c r="D21" s="10" t="n">
        <x:f>C21/B21</x:f>
        <x:v>0.7021996615905245</x:v>
      </x:c>
      <x:c r="E21" s="10" t="n">
        <x:f>SUMIFS('原始数据'!$E$2:$E$331,'原始数据'!$B$2:$B$331,"60100102",'原始数据'!$A$2:$A$331,A21)/B21</x:f>
        <x:v>0.13874788494077833</x:v>
      </x:c>
      <x:c r="F21" s="7" t="n">
        <x:f>SUMIFS('原始数据'!$E$2:$E$331,'原始数据'!$B$2:$B$331,"60100602",'原始数据'!$A$2:$A$331,A21)</x:f>
        <x:v>9</x:v>
      </x:c>
      <x:c r="G21" s="7" t="str">
        <x:f>IF(F21&gt;0,"有投放","无投放")</x:f>
        <x:v>有投放</x:v>
      </x:c>
    </x:row>
    <x:row r="22">
      <x:c r="A22" s="14" t="n">
        <x:v>46208</x:v>
      </x:c>
      <x:c r="B22" s="5" t="n">
        <x:f>SUMIFS('原始数据'!$D$2:$D$331,'原始数据'!$B$2:$B$331,"60101404",'原始数据'!$A$2:$A$331,A22)</x:f>
        <x:v>555</x:v>
      </x:c>
      <x:c r="C22" s="5" t="n">
        <x:f>SUMIFS('原始数据'!$E$2:$E$331,'原始数据'!$B$2:$B$331,"60101404",'原始数据'!$A$2:$A$331,A22)</x:f>
        <x:v>392</x:v>
      </x:c>
      <x:c r="D22" s="10" t="n">
        <x:f>C22/B22</x:f>
        <x:v>0.7063063063063063</x:v>
      </x:c>
      <x:c r="E22" s="10" t="n">
        <x:f>SUMIFS('原始数据'!$E$2:$E$331,'原始数据'!$B$2:$B$331,"60100102",'原始数据'!$A$2:$A$331,A22)/B22</x:f>
        <x:v>0.14234234234234233</x:v>
      </x:c>
      <x:c r="F22" s="7" t="n">
        <x:f>SUMIFS('原始数据'!$E$2:$E$331,'原始数据'!$B$2:$B$331,"60100602",'原始数据'!$A$2:$A$331,A22)</x:f>
        <x:v>17</x:v>
      </x:c>
      <x:c r="G22" s="7" t="str">
        <x:f>IF(F22&gt;0,"有投放","无投放")</x:f>
        <x:v>有投放</x:v>
      </x:c>
    </x:row>
    <x:row r="23">
      <x:c r="A23" s="14" t="n">
        <x:v>46209</x:v>
      </x:c>
      <x:c r="B23" s="5" t="n">
        <x:f>SUMIFS('原始数据'!$D$2:$D$331,'原始数据'!$B$2:$B$331,"60101404",'原始数据'!$A$2:$A$331,A23)</x:f>
        <x:v>520</x:v>
      </x:c>
      <x:c r="C23" s="5" t="n">
        <x:f>SUMIFS('原始数据'!$E$2:$E$331,'原始数据'!$B$2:$B$331,"60101404",'原始数据'!$A$2:$A$331,A23)</x:f>
        <x:v>367</x:v>
      </x:c>
      <x:c r="D23" s="10" t="n">
        <x:f>C23/B23</x:f>
        <x:v>0.7057692307692308</x:v>
      </x:c>
      <x:c r="E23" s="10" t="n">
        <x:f>SUMIFS('原始数据'!$E$2:$E$331,'原始数据'!$B$2:$B$331,"60100102",'原始数据'!$A$2:$A$331,A23)/B23</x:f>
        <x:v>0.15</x:v>
      </x:c>
      <x:c r="F23" s="7" t="n">
        <x:f>SUMIFS('原始数据'!$E$2:$E$331,'原始数据'!$B$2:$B$331,"60100602",'原始数据'!$A$2:$A$331,A23)</x:f>
        <x:v>0</x:v>
      </x:c>
      <x:c r="G23" s="7" t="str">
        <x:f>IF(F23&gt;0,"有投放","无投放")</x:f>
        <x:v>无投放</x:v>
      </x:c>
    </x:row>
    <x:row r="24">
      <x:c r="A24" s="14" t="n">
        <x:v>46210</x:v>
      </x:c>
      <x:c r="B24" s="5" t="n">
        <x:f>SUMIFS('原始数据'!$D$2:$D$331,'原始数据'!$B$2:$B$331,"60101404",'原始数据'!$A$2:$A$331,A24)</x:f>
        <x:v>577</x:v>
      </x:c>
      <x:c r="C24" s="5" t="n">
        <x:f>SUMIFS('原始数据'!$E$2:$E$331,'原始数据'!$B$2:$B$331,"60101404",'原始数据'!$A$2:$A$331,A24)</x:f>
        <x:v>404</x:v>
      </x:c>
      <x:c r="D24" s="10" t="n">
        <x:f>C24/B24</x:f>
        <x:v>0.7001733102253033</x:v>
      </x:c>
      <x:c r="E24" s="10" t="n">
        <x:f>SUMIFS('原始数据'!$E$2:$E$331,'原始数据'!$B$2:$B$331,"60100102",'原始数据'!$A$2:$A$331,A24)/B24</x:f>
        <x:v>0.1663778162911612</x:v>
      </x:c>
      <x:c r="F24" s="7" t="n">
        <x:f>SUMIFS('原始数据'!$E$2:$E$331,'原始数据'!$B$2:$B$331,"60100602",'原始数据'!$A$2:$A$331,A24)</x:f>
        <x:v>0</x:v>
      </x:c>
      <x:c r="G24" s="7" t="str">
        <x:f>IF(F24&gt;0,"有投放","无投放")</x:f>
        <x:v>无投放</x:v>
      </x:c>
    </x:row>
    <x:row r="25">
      <x:c r="A25" s="14" t="n">
        <x:v>46211</x:v>
      </x:c>
      <x:c r="B25" s="5" t="n">
        <x:f>SUMIFS('原始数据'!$D$2:$D$331,'原始数据'!$B$2:$B$331,"60101404",'原始数据'!$A$2:$A$331,A25)</x:f>
        <x:v>532</x:v>
      </x:c>
      <x:c r="C25" s="5" t="n">
        <x:f>SUMIFS('原始数据'!$E$2:$E$331,'原始数据'!$B$2:$B$331,"60101404",'原始数据'!$A$2:$A$331,A25)</x:f>
        <x:v>373</x:v>
      </x:c>
      <x:c r="D25" s="10" t="n">
        <x:f>C25/B25</x:f>
        <x:v>0.7011278195488722</x:v>
      </x:c>
      <x:c r="E25" s="10" t="n">
        <x:f>SUMIFS('原始数据'!$E$2:$E$331,'原始数据'!$B$2:$B$331,"60100102",'原始数据'!$A$2:$A$331,A25)/B25</x:f>
        <x:v>0.15601503759398497</x:v>
      </x:c>
      <x:c r="F25" s="7" t="n">
        <x:f>SUMIFS('原始数据'!$E$2:$E$331,'原始数据'!$B$2:$B$331,"60100602",'原始数据'!$A$2:$A$331,A25)</x:f>
        <x:v>0</x:v>
      </x:c>
      <x:c r="G25" s="7" t="str">
        <x:f>IF(F25&gt;0,"有投放","无投放")</x:f>
        <x:v>无投放</x:v>
      </x:c>
    </x:row>
    <x:row r="26">
      <x:c r="A26" s="14" t="n">
        <x:v>46212</x:v>
      </x:c>
      <x:c r="B26" s="5" t="n">
        <x:f>SUMIFS('原始数据'!$D$2:$D$331,'原始数据'!$B$2:$B$331,"60101404",'原始数据'!$A$2:$A$331,A26)</x:f>
        <x:v>569</x:v>
      </x:c>
      <x:c r="C26" s="5" t="n">
        <x:f>SUMIFS('原始数据'!$E$2:$E$331,'原始数据'!$B$2:$B$331,"60101404",'原始数据'!$A$2:$A$331,A26)</x:f>
        <x:v>391</x:v>
      </x:c>
      <x:c r="D26" s="10" t="n">
        <x:f>C26/B26</x:f>
        <x:v>0.687170474516696</x:v>
      </x:c>
      <x:c r="E26" s="10" t="n">
        <x:f>SUMIFS('原始数据'!$E$2:$E$331,'原始数据'!$B$2:$B$331,"60100102",'原始数据'!$A$2:$A$331,A26)/B26</x:f>
        <x:v>0.13708260105448156</x:v>
      </x:c>
      <x:c r="F26" s="7" t="n">
        <x:f>SUMIFS('原始数据'!$E$2:$E$331,'原始数据'!$B$2:$B$331,"60100602",'原始数据'!$A$2:$A$331,A26)</x:f>
        <x:v>0</x:v>
      </x:c>
      <x:c r="G26" s="7" t="str">
        <x:f>IF(F26&gt;0,"有投放","无投放")</x:f>
        <x:v>无投放</x:v>
      </x:c>
    </x:row>
    <x:row r="27">
      <x:c r="A27" s="14" t="n">
        <x:v>46213</x:v>
      </x:c>
      <x:c r="B27" s="5" t="n">
        <x:f>SUMIFS('原始数据'!$D$2:$D$331,'原始数据'!$B$2:$B$331,"60101404",'原始数据'!$A$2:$A$331,A27)</x:f>
        <x:v>546</x:v>
      </x:c>
      <x:c r="C27" s="5" t="n">
        <x:f>SUMIFS('原始数据'!$E$2:$E$331,'原始数据'!$B$2:$B$331,"60101404",'原始数据'!$A$2:$A$331,A27)</x:f>
        <x:v>375</x:v>
      </x:c>
      <x:c r="D27" s="10" t="n">
        <x:f>C27/B27</x:f>
        <x:v>0.6868131868131868</x:v>
      </x:c>
      <x:c r="E27" s="10" t="n">
        <x:f>SUMIFS('原始数据'!$E$2:$E$331,'原始数据'!$B$2:$B$331,"60100102",'原始数据'!$A$2:$A$331,A27)/B27</x:f>
        <x:v>0.14835164835164835</x:v>
      </x:c>
      <x:c r="F27" s="7" t="n">
        <x:f>SUMIFS('原始数据'!$E$2:$E$331,'原始数据'!$B$2:$B$331,"60100602",'原始数据'!$A$2:$A$331,A27)</x:f>
        <x:v>0</x:v>
      </x:c>
      <x:c r="G27" s="7" t="str">
        <x:f>IF(F27&gt;0,"有投放","无投放")</x:f>
        <x:v>无投放</x:v>
      </x:c>
    </x:row>
    <x:row r="28">
      <x:c r="A28" s="14" t="n">
        <x:v>46214</x:v>
      </x:c>
      <x:c r="B28" s="5" t="n">
        <x:f>SUMIFS('原始数据'!$D$2:$D$331,'原始数据'!$B$2:$B$331,"60101404",'原始数据'!$A$2:$A$331,A28)</x:f>
        <x:v>670</x:v>
      </x:c>
      <x:c r="C28" s="5" t="n">
        <x:f>SUMIFS('原始数据'!$E$2:$E$331,'原始数据'!$B$2:$B$331,"60101404",'原始数据'!$A$2:$A$331,A28)</x:f>
        <x:v>432</x:v>
      </x:c>
      <x:c r="D28" s="10" t="n">
        <x:f>C28/B28</x:f>
        <x:v>0.6447761194029851</x:v>
      </x:c>
      <x:c r="E28" s="10" t="n">
        <x:f>SUMIFS('原始数据'!$E$2:$E$331,'原始数据'!$B$2:$B$331,"60100102",'原始数据'!$A$2:$A$331,A28)/B28</x:f>
        <x:v>0.13432835820895522</x:v>
      </x:c>
      <x:c r="F28" s="7" t="n">
        <x:f>SUMIFS('原始数据'!$E$2:$E$331,'原始数据'!$B$2:$B$331,"60100602",'原始数据'!$A$2:$A$331,A28)</x:f>
        <x:v>0</x:v>
      </x:c>
      <x:c r="G28" s="7" t="str">
        <x:f>IF(F28&gt;0,"有投放","无投放")</x:f>
        <x:v>无投放</x:v>
      </x:c>
    </x:row>
    <x:row r="29">
      <x:c r="A29" s="14" t="n">
        <x:v>46215</x:v>
      </x:c>
      <x:c r="B29" s="5" t="n">
        <x:f>SUMIFS('原始数据'!$D$2:$D$331,'原始数据'!$B$2:$B$331,"60101404",'原始数据'!$A$2:$A$331,A29)</x:f>
        <x:v>597</x:v>
      </x:c>
      <x:c r="C29" s="5" t="n">
        <x:f>SUMIFS('原始数据'!$E$2:$E$331,'原始数据'!$B$2:$B$331,"60101404",'原始数据'!$A$2:$A$331,A29)</x:f>
        <x:v>398</x:v>
      </x:c>
      <x:c r="D29" s="10" t="n">
        <x:f>C29/B29</x:f>
        <x:v>0.6666666666666666</x:v>
      </x:c>
      <x:c r="E29" s="10" t="n">
        <x:f>SUMIFS('原始数据'!$E$2:$E$331,'原始数据'!$B$2:$B$331,"60100102",'原始数据'!$A$2:$A$331,A29)/B29</x:f>
        <x:v>0.1507537688442211</x:v>
      </x:c>
      <x:c r="F29" s="7" t="n">
        <x:f>SUMIFS('原始数据'!$E$2:$E$331,'原始数据'!$B$2:$B$331,"60100602",'原始数据'!$A$2:$A$331,A29)</x:f>
        <x:v>0</x:v>
      </x:c>
      <x:c r="G29" s="7" t="str">
        <x:f>IF(F29&gt;0,"有投放","无投放")</x:f>
        <x:v>无投放</x:v>
      </x:c>
    </x:row>
    <x:row r="30">
      <x:c r="A30" s="14" t="n">
        <x:v>46216</x:v>
      </x:c>
      <x:c r="B30" s="5" t="n">
        <x:f>SUMIFS('原始数据'!$D$2:$D$331,'原始数据'!$B$2:$B$331,"60101404",'原始数据'!$A$2:$A$331,A30)</x:f>
        <x:v>595</x:v>
      </x:c>
      <x:c r="C30" s="5" t="n">
        <x:f>SUMIFS('原始数据'!$E$2:$E$331,'原始数据'!$B$2:$B$331,"60101404",'原始数据'!$A$2:$A$331,A30)</x:f>
        <x:v>415</x:v>
      </x:c>
      <x:c r="D30" s="10" t="n">
        <x:f>C30/B30</x:f>
        <x:v>0.6974789915966386</x:v>
      </x:c>
      <x:c r="E30" s="10" t="n">
        <x:f>SUMIFS('原始数据'!$E$2:$E$331,'原始数据'!$B$2:$B$331,"60100102",'原始数据'!$A$2:$A$331,A30)/B30</x:f>
        <x:v>0.15966386554621848</x:v>
      </x:c>
      <x:c r="F30" s="7" t="n">
        <x:f>SUMIFS('原始数据'!$E$2:$E$331,'原始数据'!$B$2:$B$331,"60100602",'原始数据'!$A$2:$A$331,A30)</x:f>
        <x:v>0</x:v>
      </x:c>
      <x:c r="G30" s="7" t="str">
        <x:f>IF(F30&gt;0,"有投放","无投放")</x:f>
        <x:v>无投放</x:v>
      </x:c>
    </x:row>
    <x:row r="31">
      <x:c r="A31" s="14" t="n">
        <x:v>46217</x:v>
      </x:c>
      <x:c r="B31" s="5" t="n">
        <x:f>SUMIFS('原始数据'!$D$2:$D$331,'原始数据'!$B$2:$B$331,"60101404",'原始数据'!$A$2:$A$331,A31)</x:f>
        <x:v>573</x:v>
      </x:c>
      <x:c r="C31" s="5" t="n">
        <x:f>SUMIFS('原始数据'!$E$2:$E$331,'原始数据'!$B$2:$B$331,"60101404",'原始数据'!$A$2:$A$331,A31)</x:f>
        <x:v>387</x:v>
      </x:c>
      <x:c r="D31" s="10" t="n">
        <x:f>C31/B31</x:f>
        <x:v>0.675392670157068</x:v>
      </x:c>
      <x:c r="E31" s="10" t="n">
        <x:f>SUMIFS('原始数据'!$E$2:$E$331,'原始数据'!$B$2:$B$331,"60100102",'原始数据'!$A$2:$A$331,A31)/B31</x:f>
        <x:v>0.1762652705061082</x:v>
      </x:c>
      <x:c r="F31" s="7" t="n">
        <x:f>SUMIFS('原始数据'!$E$2:$E$331,'原始数据'!$B$2:$B$331,"60100602",'原始数据'!$A$2:$A$331,A31)</x:f>
        <x:v>0</x:v>
      </x:c>
      <x:c r="G31" s="7" t="str">
        <x:f>IF(F31&gt;0,"有投放","无投放")</x:f>
        <x:v>无投放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7.78000020980835" hidden="0" customWidth="1"/>
    <x:col min="3" max="3" width="24" hidden="0" customWidth="1"/>
    <x:col min="4" max="4" width="9.220000267028809" hidden="0" customWidth="1"/>
    <x:col min="5" max="5" width="14.109999656677246" hidden="0" customWidth="1"/>
    <x:col min="6" max="6" width="17.670000076293945" hidden="0" customWidth="1"/>
  </x:cols>
  <x:sheetData>
    <x:row r="1">
      <x:c r="A1" s="3" t="str">
        <x:v>日期</x:v>
      </x:c>
      <x:c r="B1" s="3" t="str">
        <x:v>事件ID</x:v>
      </x:c>
      <x:c r="C1" s="3" t="str">
        <x:v>事件名称</x:v>
      </x:c>
      <x:c r="D1" s="3" t="str">
        <x:v>新增用户UV</x:v>
      </x:c>
      <x:c r="E1" s="3" t="str">
        <x:v>纯新增用户点击UV</x:v>
      </x:c>
      <x:c r="F1" s="3" t="str">
        <x:v>纯新增用户点击占比(%)</x:v>
      </x:c>
    </x:row>
    <x:row r="2">
      <x:c r="A2" s="4" t="n">
        <x:v>46188</x:v>
      </x:c>
      <x:c r="B2" s="7" t="str">
        <x:v>60101404</x:v>
      </x:c>
      <x:c r="C2" s="7" t="str">
        <x:v>用户启动游戏</x:v>
      </x:c>
      <x:c r="D2" s="5" t="n">
        <x:v>517</x:v>
      </x:c>
      <x:c r="E2" s="5" t="n">
        <x:v>317</x:v>
      </x:c>
      <x:c r="F2" s="6" t="n">
        <x:v>61.3</x:v>
      </x:c>
    </x:row>
    <x:row r="3">
      <x:c r="A3" s="4" t="n">
        <x:v>46188</x:v>
      </x:c>
      <x:c r="B3" s="7" t="str">
        <x:v>60100102</x:v>
      </x:c>
      <x:c r="C3" s="7" t="str">
        <x:v>本地热门游戏点击</x:v>
      </x:c>
      <x:c r="D3" s="5" t="n">
        <x:v>517</x:v>
      </x:c>
      <x:c r="E3" s="5" t="n">
        <x:v>40</x:v>
      </x:c>
      <x:c r="F3" s="6" t="n">
        <x:v>7.7</x:v>
      </x:c>
    </x:row>
    <x:row r="4">
      <x:c r="A4" s="4" t="n">
        <x:v>46188</x:v>
      </x:c>
      <x:c r="B4" s="7" t="str">
        <x:v>60100103</x:v>
      </x:c>
      <x:c r="C4" s="7" t="str">
        <x:v>推荐列表游戏点击</x:v>
      </x:c>
      <x:c r="D4" s="5" t="n">
        <x:v>517</x:v>
      </x:c>
      <x:c r="E4" s="5" t="n">
        <x:v>1</x:v>
      </x:c>
      <x:c r="F4" s="6" t="n">
        <x:v>0.2</x:v>
      </x:c>
    </x:row>
    <x:row r="5">
      <x:c r="A5" s="4" t="n">
        <x:v>46188</x:v>
      </x:c>
      <x:c r="B5" s="7" t="str">
        <x:v>60100201</x:v>
      </x:c>
      <x:c r="C5" s="7" t="str">
        <x:v>首屏banner点击</x:v>
      </x:c>
      <x:c r="D5" s="5" t="n">
        <x:v>517</x:v>
      </x:c>
      <x:c r="E5" s="5" t="n">
        <x:v>2</x:v>
      </x:c>
      <x:c r="F5" s="6" t="n">
        <x:v>0.4</x:v>
      </x:c>
    </x:row>
    <x:row r="6">
      <x:c r="A6" s="4" t="n">
        <x:v>46188</x:v>
      </x:c>
      <x:c r="B6" s="7" t="str">
        <x:v>60100301</x:v>
      </x:c>
      <x:c r="C6" s="7" t="str">
        <x:v>次屏banner点击</x:v>
      </x:c>
      <x:c r="D6" s="5" t="n">
        <x:v>517</x:v>
      </x:c>
      <x:c r="E6" s="5" t="n">
        <x:v>0</x:v>
      </x:c>
      <x:c r="F6" s="6" t="n">
        <x:v>0</x:v>
      </x:c>
    </x:row>
    <x:row r="7">
      <x:c r="A7" s="4" t="n">
        <x:v>46188</x:v>
      </x:c>
      <x:c r="B7" s="7" t="str">
        <x:v>60100602</x:v>
      </x:c>
      <x:c r="C7" s="7" t="str">
        <x:v>活动banner点击</x:v>
      </x:c>
      <x:c r="D7" s="5" t="n">
        <x:v>517</x:v>
      </x:c>
      <x:c r="E7" s="5" t="n">
        <x:v>0</x:v>
      </x:c>
      <x:c r="F7" s="6" t="n">
        <x:v>0</x:v>
      </x:c>
    </x:row>
    <x:row r="8">
      <x:c r="A8" s="4" t="n">
        <x:v>46188</x:v>
      </x:c>
      <x:c r="B8" s="7" t="str">
        <x:v>60100402</x:v>
      </x:c>
      <x:c r="C8" s="7" t="str">
        <x:v>首屏弹窗广告点击</x:v>
      </x:c>
      <x:c r="D8" s="5" t="n">
        <x:v>517</x:v>
      </x:c>
      <x:c r="E8" s="5" t="n">
        <x:v>1</x:v>
      </x:c>
      <x:c r="F8" s="6" t="n">
        <x:v>0.2</x:v>
      </x:c>
    </x:row>
    <x:row r="9">
      <x:c r="A9" s="4" t="n">
        <x:v>46188</x:v>
      </x:c>
      <x:c r="B9" s="7" t="str">
        <x:v>60100703</x:v>
      </x:c>
      <x:c r="C9" s="7" t="str">
        <x:v>搜索游戏点击</x:v>
      </x:c>
      <x:c r="D9" s="5" t="n">
        <x:v>517</x:v>
      </x:c>
      <x:c r="E9" s="5" t="n">
        <x:v>65</x:v>
      </x:c>
      <x:c r="F9" s="6" t="n">
        <x:v>12.6</x:v>
      </x:c>
    </x:row>
    <x:row r="10">
      <x:c r="A10" s="4" t="n">
        <x:v>46188</x:v>
      </x:c>
      <x:c r="B10" s="7" t="str">
        <x:v>60102605</x:v>
      </x:c>
      <x:c r="C10" s="7" t="str">
        <x:v>页签内点击</x:v>
      </x:c>
      <x:c r="D10" s="5" t="n">
        <x:v>517</x:v>
      </x:c>
      <x:c r="E10" s="5" t="n">
        <x:v>28</x:v>
      </x:c>
      <x:c r="F10" s="6" t="n">
        <x:v>5.4</x:v>
      </x:c>
    </x:row>
    <x:row r="11">
      <x:c r="A11" s="4" t="n">
        <x:v>46188</x:v>
      </x:c>
      <x:c r="B11" s="7" t="str">
        <x:v>60103909</x:v>
      </x:c>
      <x:c r="C11" s="7" t="str">
        <x:v>游戏模块开始玩点击</x:v>
      </x:c>
      <x:c r="D11" s="5" t="n">
        <x:v>517</x:v>
      </x:c>
      <x:c r="E11" s="5" t="n">
        <x:v>98</x:v>
      </x:c>
      <x:c r="F11" s="6" t="n">
        <x:v>19</x:v>
      </x:c>
    </x:row>
    <x:row r="12">
      <x:c r="A12" s="4" t="n">
        <x:v>46188</x:v>
      </x:c>
      <x:c r="B12" s="7" t="str">
        <x:v>60103948</x:v>
      </x:c>
      <x:c r="C12" s="7" t="str">
        <x:v>家乡专区游戏点击</x:v>
      </x:c>
      <x:c r="D12" s="5" t="n">
        <x:v>517</x:v>
      </x:c>
      <x:c r="E12" s="5" t="n">
        <x:v>74</x:v>
      </x:c>
      <x:c r="F12" s="6" t="n">
        <x:v>14.3</x:v>
      </x:c>
    </x:row>
    <x:row r="13">
      <x:c r="A13" s="4" t="n">
        <x:v>46189</x:v>
      </x:c>
      <x:c r="B13" s="7" t="str">
        <x:v>60101404</x:v>
      </x:c>
      <x:c r="C13" s="7" t="str">
        <x:v>用户启动游戏</x:v>
      </x:c>
      <x:c r="D13" s="5" t="n">
        <x:v>473</x:v>
      </x:c>
      <x:c r="E13" s="5" t="n">
        <x:v>341</x:v>
      </x:c>
      <x:c r="F13" s="6" t="n">
        <x:v>72.1</x:v>
      </x:c>
    </x:row>
    <x:row r="14">
      <x:c r="A14" s="4" t="n">
        <x:v>46189</x:v>
      </x:c>
      <x:c r="B14" s="7" t="str">
        <x:v>60100102</x:v>
      </x:c>
      <x:c r="C14" s="7" t="str">
        <x:v>本地热门游戏点击</x:v>
      </x:c>
      <x:c r="D14" s="5" t="n">
        <x:v>473</x:v>
      </x:c>
      <x:c r="E14" s="5" t="n">
        <x:v>39</x:v>
      </x:c>
      <x:c r="F14" s="6" t="n">
        <x:v>8.2</x:v>
      </x:c>
    </x:row>
    <x:row r="15">
      <x:c r="A15" s="4" t="n">
        <x:v>46189</x:v>
      </x:c>
      <x:c r="B15" s="7" t="str">
        <x:v>60100103</x:v>
      </x:c>
      <x:c r="C15" s="7" t="str">
        <x:v>推荐列表游戏点击</x:v>
      </x:c>
      <x:c r="D15" s="5" t="n">
        <x:v>473</x:v>
      </x:c>
      <x:c r="E15" s="5" t="n">
        <x:v>3</x:v>
      </x:c>
      <x:c r="F15" s="6" t="n">
        <x:v>0.6</x:v>
      </x:c>
    </x:row>
    <x:row r="16">
      <x:c r="A16" s="4" t="n">
        <x:v>46189</x:v>
      </x:c>
      <x:c r="B16" s="7" t="str">
        <x:v>60100201</x:v>
      </x:c>
      <x:c r="C16" s="7" t="str">
        <x:v>首屏banner点击</x:v>
      </x:c>
      <x:c r="D16" s="5" t="n">
        <x:v>473</x:v>
      </x:c>
      <x:c r="E16" s="5" t="n">
        <x:v>4</x:v>
      </x:c>
      <x:c r="F16" s="6" t="n">
        <x:v>0.8</x:v>
      </x:c>
    </x:row>
    <x:row r="17">
      <x:c r="A17" s="4" t="n">
        <x:v>46189</x:v>
      </x:c>
      <x:c r="B17" s="7" t="str">
        <x:v>60100301</x:v>
      </x:c>
      <x:c r="C17" s="7" t="str">
        <x:v>次屏banner点击</x:v>
      </x:c>
      <x:c r="D17" s="5" t="n">
        <x:v>473</x:v>
      </x:c>
      <x:c r="E17" s="5" t="n">
        <x:v>5</x:v>
      </x:c>
      <x:c r="F17" s="6" t="n">
        <x:v>1.1</x:v>
      </x:c>
    </x:row>
    <x:row r="18">
      <x:c r="A18" s="4" t="n">
        <x:v>46189</x:v>
      </x:c>
      <x:c r="B18" s="7" t="str">
        <x:v>60100602</x:v>
      </x:c>
      <x:c r="C18" s="7" t="str">
        <x:v>活动banner点击</x:v>
      </x:c>
      <x:c r="D18" s="5" t="n">
        <x:v>473</x:v>
      </x:c>
      <x:c r="E18" s="5" t="n">
        <x:v>0</x:v>
      </x:c>
      <x:c r="F18" s="6" t="n">
        <x:v>0</x:v>
      </x:c>
    </x:row>
    <x:row r="19">
      <x:c r="A19" s="4" t="n">
        <x:v>46189</x:v>
      </x:c>
      <x:c r="B19" s="7" t="str">
        <x:v>60100402</x:v>
      </x:c>
      <x:c r="C19" s="7" t="str">
        <x:v>首屏弹窗广告点击</x:v>
      </x:c>
      <x:c r="D19" s="5" t="n">
        <x:v>473</x:v>
      </x:c>
      <x:c r="E19" s="5" t="n">
        <x:v>0</x:v>
      </x:c>
      <x:c r="F19" s="6" t="n">
        <x:v>0</x:v>
      </x:c>
    </x:row>
    <x:row r="20">
      <x:c r="A20" s="4" t="n">
        <x:v>46189</x:v>
      </x:c>
      <x:c r="B20" s="7" t="str">
        <x:v>60100703</x:v>
      </x:c>
      <x:c r="C20" s="7" t="str">
        <x:v>搜索游戏点击</x:v>
      </x:c>
      <x:c r="D20" s="5" t="n">
        <x:v>473</x:v>
      </x:c>
      <x:c r="E20" s="5" t="n">
        <x:v>68</x:v>
      </x:c>
      <x:c r="F20" s="6" t="n">
        <x:v>14.4</x:v>
      </x:c>
    </x:row>
    <x:row r="21">
      <x:c r="A21" s="4" t="n">
        <x:v>46189</x:v>
      </x:c>
      <x:c r="B21" s="7" t="str">
        <x:v>60102605</x:v>
      </x:c>
      <x:c r="C21" s="7" t="str">
        <x:v>页签内点击</x:v>
      </x:c>
      <x:c r="D21" s="5" t="n">
        <x:v>473</x:v>
      </x:c>
      <x:c r="E21" s="5" t="n">
        <x:v>24</x:v>
      </x:c>
      <x:c r="F21" s="6" t="n">
        <x:v>5.1</x:v>
      </x:c>
    </x:row>
    <x:row r="22">
      <x:c r="A22" s="4" t="n">
        <x:v>46189</x:v>
      </x:c>
      <x:c r="B22" s="7" t="str">
        <x:v>60103909</x:v>
      </x:c>
      <x:c r="C22" s="7" t="str">
        <x:v>游戏模块开始玩点击</x:v>
      </x:c>
      <x:c r="D22" s="5" t="n">
        <x:v>473</x:v>
      </x:c>
      <x:c r="E22" s="5" t="n">
        <x:v>104</x:v>
      </x:c>
      <x:c r="F22" s="6" t="n">
        <x:v>22</x:v>
      </x:c>
    </x:row>
    <x:row r="23">
      <x:c r="A23" s="4" t="n">
        <x:v>46189</x:v>
      </x:c>
      <x:c r="B23" s="7" t="str">
        <x:v>60103948</x:v>
      </x:c>
      <x:c r="C23" s="7" t="str">
        <x:v>家乡专区游戏点击</x:v>
      </x:c>
      <x:c r="D23" s="5" t="n">
        <x:v>473</x:v>
      </x:c>
      <x:c r="E23" s="5" t="n">
        <x:v>74</x:v>
      </x:c>
      <x:c r="F23" s="6" t="n">
        <x:v>15.6</x:v>
      </x:c>
    </x:row>
    <x:row r="24">
      <x:c r="A24" s="4" t="n">
        <x:v>46190</x:v>
      </x:c>
      <x:c r="B24" s="7" t="str">
        <x:v>60101404</x:v>
      </x:c>
      <x:c r="C24" s="7" t="str">
        <x:v>用户启动游戏</x:v>
      </x:c>
      <x:c r="D24" s="5" t="n">
        <x:v>498</x:v>
      </x:c>
      <x:c r="E24" s="5" t="n">
        <x:v>342</x:v>
      </x:c>
      <x:c r="F24" s="6" t="n">
        <x:v>68.7</x:v>
      </x:c>
    </x:row>
    <x:row r="25">
      <x:c r="A25" s="4" t="n">
        <x:v>46190</x:v>
      </x:c>
      <x:c r="B25" s="7" t="str">
        <x:v>60100102</x:v>
      </x:c>
      <x:c r="C25" s="7" t="str">
        <x:v>本地热门游戏点击</x:v>
      </x:c>
      <x:c r="D25" s="5" t="n">
        <x:v>498</x:v>
      </x:c>
      <x:c r="E25" s="5" t="n">
        <x:v>53</x:v>
      </x:c>
      <x:c r="F25" s="6" t="n">
        <x:v>10.6</x:v>
      </x:c>
    </x:row>
    <x:row r="26">
      <x:c r="A26" s="4" t="n">
        <x:v>46190</x:v>
      </x:c>
      <x:c r="B26" s="7" t="str">
        <x:v>60100103</x:v>
      </x:c>
      <x:c r="C26" s="7" t="str">
        <x:v>推荐列表游戏点击</x:v>
      </x:c>
      <x:c r="D26" s="5" t="n">
        <x:v>498</x:v>
      </x:c>
      <x:c r="E26" s="5" t="n">
        <x:v>3</x:v>
      </x:c>
      <x:c r="F26" s="6" t="n">
        <x:v>0.6</x:v>
      </x:c>
    </x:row>
    <x:row r="27">
      <x:c r="A27" s="4" t="n">
        <x:v>46190</x:v>
      </x:c>
      <x:c r="B27" s="7" t="str">
        <x:v>60100201</x:v>
      </x:c>
      <x:c r="C27" s="7" t="str">
        <x:v>首屏banner点击</x:v>
      </x:c>
      <x:c r="D27" s="5" t="n">
        <x:v>498</x:v>
      </x:c>
      <x:c r="E27" s="5" t="n">
        <x:v>4</x:v>
      </x:c>
      <x:c r="F27" s="6" t="n">
        <x:v>0.8</x:v>
      </x:c>
    </x:row>
    <x:row r="28">
      <x:c r="A28" s="4" t="n">
        <x:v>46190</x:v>
      </x:c>
      <x:c r="B28" s="7" t="str">
        <x:v>60100301</x:v>
      </x:c>
      <x:c r="C28" s="7" t="str">
        <x:v>次屏banner点击</x:v>
      </x:c>
      <x:c r="D28" s="5" t="n">
        <x:v>498</x:v>
      </x:c>
      <x:c r="E28" s="5" t="n">
        <x:v>0</x:v>
      </x:c>
      <x:c r="F28" s="6" t="n">
        <x:v>0</x:v>
      </x:c>
    </x:row>
    <x:row r="29">
      <x:c r="A29" s="4" t="n">
        <x:v>46190</x:v>
      </x:c>
      <x:c r="B29" s="7" t="str">
        <x:v>60100602</x:v>
      </x:c>
      <x:c r="C29" s="7" t="str">
        <x:v>活动banner点击</x:v>
      </x:c>
      <x:c r="D29" s="5" t="n">
        <x:v>498</x:v>
      </x:c>
      <x:c r="E29" s="5" t="n">
        <x:v>0</x:v>
      </x:c>
      <x:c r="F29" s="6" t="n">
        <x:v>0</x:v>
      </x:c>
    </x:row>
    <x:row r="30">
      <x:c r="A30" s="4" t="n">
        <x:v>46190</x:v>
      </x:c>
      <x:c r="B30" s="7" t="str">
        <x:v>60100402</x:v>
      </x:c>
      <x:c r="C30" s="7" t="str">
        <x:v>首屏弹窗广告点击</x:v>
      </x:c>
      <x:c r="D30" s="5" t="n">
        <x:v>498</x:v>
      </x:c>
      <x:c r="E30" s="5" t="n">
        <x:v>1</x:v>
      </x:c>
      <x:c r="F30" s="6" t="n">
        <x:v>0.2</x:v>
      </x:c>
    </x:row>
    <x:row r="31">
      <x:c r="A31" s="4" t="n">
        <x:v>46190</x:v>
      </x:c>
      <x:c r="B31" s="7" t="str">
        <x:v>60100703</x:v>
      </x:c>
      <x:c r="C31" s="7" t="str">
        <x:v>搜索游戏点击</x:v>
      </x:c>
      <x:c r="D31" s="5" t="n">
        <x:v>498</x:v>
      </x:c>
      <x:c r="E31" s="5" t="n">
        <x:v>69</x:v>
      </x:c>
      <x:c r="F31" s="6" t="n">
        <x:v>13.9</x:v>
      </x:c>
    </x:row>
    <x:row r="32">
      <x:c r="A32" s="4" t="n">
        <x:v>46190</x:v>
      </x:c>
      <x:c r="B32" s="7" t="str">
        <x:v>60102605</x:v>
      </x:c>
      <x:c r="C32" s="7" t="str">
        <x:v>页签内点击</x:v>
      </x:c>
      <x:c r="D32" s="5" t="n">
        <x:v>498</x:v>
      </x:c>
      <x:c r="E32" s="5" t="n">
        <x:v>23</x:v>
      </x:c>
      <x:c r="F32" s="6" t="n">
        <x:v>4.6</x:v>
      </x:c>
    </x:row>
    <x:row r="33">
      <x:c r="A33" s="4" t="n">
        <x:v>46190</x:v>
      </x:c>
      <x:c r="B33" s="7" t="str">
        <x:v>60103909</x:v>
      </x:c>
      <x:c r="C33" s="7" t="str">
        <x:v>游戏模块开始玩点击</x:v>
      </x:c>
      <x:c r="D33" s="5" t="n">
        <x:v>498</x:v>
      </x:c>
      <x:c r="E33" s="5" t="n">
        <x:v>106</x:v>
      </x:c>
      <x:c r="F33" s="6" t="n">
        <x:v>21.3</x:v>
      </x:c>
    </x:row>
    <x:row r="34">
      <x:c r="A34" s="4" t="n">
        <x:v>46190</x:v>
      </x:c>
      <x:c r="B34" s="7" t="str">
        <x:v>60103948</x:v>
      </x:c>
      <x:c r="C34" s="7" t="str">
        <x:v>家乡专区游戏点击</x:v>
      </x:c>
      <x:c r="D34" s="5" t="n">
        <x:v>498</x:v>
      </x:c>
      <x:c r="E34" s="5" t="n">
        <x:v>75</x:v>
      </x:c>
      <x:c r="F34" s="6" t="n">
        <x:v>15.1</x:v>
      </x:c>
    </x:row>
    <x:row r="35">
      <x:c r="A35" s="4" t="n">
        <x:v>46191</x:v>
      </x:c>
      <x:c r="B35" s="7" t="str">
        <x:v>60101404</x:v>
      </x:c>
      <x:c r="C35" s="7" t="str">
        <x:v>用户启动游戏</x:v>
      </x:c>
      <x:c r="D35" s="5" t="n">
        <x:v>545</x:v>
      </x:c>
      <x:c r="E35" s="5" t="n">
        <x:v>381</x:v>
      </x:c>
      <x:c r="F35" s="6" t="n">
        <x:v>69.9</x:v>
      </x:c>
    </x:row>
    <x:row r="36">
      <x:c r="A36" s="4" t="n">
        <x:v>46191</x:v>
      </x:c>
      <x:c r="B36" s="7" t="str">
        <x:v>60100102</x:v>
      </x:c>
      <x:c r="C36" s="7" t="str">
        <x:v>本地热门游戏点击</x:v>
      </x:c>
      <x:c r="D36" s="5" t="n">
        <x:v>545</x:v>
      </x:c>
      <x:c r="E36" s="5" t="n">
        <x:v>75</x:v>
      </x:c>
      <x:c r="F36" s="6" t="n">
        <x:v>13.8</x:v>
      </x:c>
    </x:row>
    <x:row r="37">
      <x:c r="A37" s="4" t="n">
        <x:v>46191</x:v>
      </x:c>
      <x:c r="B37" s="7" t="str">
        <x:v>60100103</x:v>
      </x:c>
      <x:c r="C37" s="7" t="str">
        <x:v>推荐列表游戏点击</x:v>
      </x:c>
      <x:c r="D37" s="5" t="n">
        <x:v>545</x:v>
      </x:c>
      <x:c r="E37" s="5" t="n">
        <x:v>6</x:v>
      </x:c>
      <x:c r="F37" s="6" t="n">
        <x:v>1.1</x:v>
      </x:c>
    </x:row>
    <x:row r="38">
      <x:c r="A38" s="4" t="n">
        <x:v>46191</x:v>
      </x:c>
      <x:c r="B38" s="7" t="str">
        <x:v>60100201</x:v>
      </x:c>
      <x:c r="C38" s="7" t="str">
        <x:v>首屏banner点击</x:v>
      </x:c>
      <x:c r="D38" s="5" t="n">
        <x:v>545</x:v>
      </x:c>
      <x:c r="E38" s="5" t="n">
        <x:v>6</x:v>
      </x:c>
      <x:c r="F38" s="6" t="n">
        <x:v>1.1</x:v>
      </x:c>
    </x:row>
    <x:row r="39">
      <x:c r="A39" s="4" t="n">
        <x:v>46191</x:v>
      </x:c>
      <x:c r="B39" s="7" t="str">
        <x:v>60100301</x:v>
      </x:c>
      <x:c r="C39" s="7" t="str">
        <x:v>次屏banner点击</x:v>
      </x:c>
      <x:c r="D39" s="5" t="n">
        <x:v>545</x:v>
      </x:c>
      <x:c r="E39" s="5" t="n">
        <x:v>3</x:v>
      </x:c>
      <x:c r="F39" s="6" t="n">
        <x:v>0.6</x:v>
      </x:c>
    </x:row>
    <x:row r="40">
      <x:c r="A40" s="4" t="n">
        <x:v>46191</x:v>
      </x:c>
      <x:c r="B40" s="7" t="str">
        <x:v>60100602</x:v>
      </x:c>
      <x:c r="C40" s="7" t="str">
        <x:v>活动banner点击</x:v>
      </x:c>
      <x:c r="D40" s="5" t="n">
        <x:v>545</x:v>
      </x:c>
      <x:c r="E40" s="5" t="n">
        <x:v>0</x:v>
      </x:c>
      <x:c r="F40" s="6" t="n">
        <x:v>0</x:v>
      </x:c>
    </x:row>
    <x:row r="41">
      <x:c r="A41" s="4" t="n">
        <x:v>46191</x:v>
      </x:c>
      <x:c r="B41" s="7" t="str">
        <x:v>60100402</x:v>
      </x:c>
      <x:c r="C41" s="7" t="str">
        <x:v>首屏弹窗广告点击</x:v>
      </x:c>
      <x:c r="D41" s="5" t="n">
        <x:v>545</x:v>
      </x:c>
      <x:c r="E41" s="5" t="n">
        <x:v>0</x:v>
      </x:c>
      <x:c r="F41" s="6" t="n">
        <x:v>0</x:v>
      </x:c>
    </x:row>
    <x:row r="42">
      <x:c r="A42" s="4" t="n">
        <x:v>46191</x:v>
      </x:c>
      <x:c r="B42" s="7" t="str">
        <x:v>60100703</x:v>
      </x:c>
      <x:c r="C42" s="7" t="str">
        <x:v>搜索游戏点击</x:v>
      </x:c>
      <x:c r="D42" s="5" t="n">
        <x:v>545</x:v>
      </x:c>
      <x:c r="E42" s="5" t="n">
        <x:v>87</x:v>
      </x:c>
      <x:c r="F42" s="6" t="n">
        <x:v>16</x:v>
      </x:c>
    </x:row>
    <x:row r="43">
      <x:c r="A43" s="4" t="n">
        <x:v>46191</x:v>
      </x:c>
      <x:c r="B43" s="7" t="str">
        <x:v>60102605</x:v>
      </x:c>
      <x:c r="C43" s="7" t="str">
        <x:v>页签内点击</x:v>
      </x:c>
      <x:c r="D43" s="5" t="n">
        <x:v>545</x:v>
      </x:c>
      <x:c r="E43" s="5" t="n">
        <x:v>30</x:v>
      </x:c>
      <x:c r="F43" s="6" t="n">
        <x:v>5.5</x:v>
      </x:c>
    </x:row>
    <x:row r="44">
      <x:c r="A44" s="4" t="n">
        <x:v>46191</x:v>
      </x:c>
      <x:c r="B44" s="7" t="str">
        <x:v>60103909</x:v>
      </x:c>
      <x:c r="C44" s="7" t="str">
        <x:v>游戏模块开始玩点击</x:v>
      </x:c>
      <x:c r="D44" s="5" t="n">
        <x:v>545</x:v>
      </x:c>
      <x:c r="E44" s="5" t="n">
        <x:v>124</x:v>
      </x:c>
      <x:c r="F44" s="6" t="n">
        <x:v>22.8</x:v>
      </x:c>
    </x:row>
    <x:row r="45">
      <x:c r="A45" s="4" t="n">
        <x:v>46191</x:v>
      </x:c>
      <x:c r="B45" s="7" t="str">
        <x:v>60103948</x:v>
      </x:c>
      <x:c r="C45" s="7" t="str">
        <x:v>家乡专区游戏点击</x:v>
      </x:c>
      <x:c r="D45" s="5" t="n">
        <x:v>545</x:v>
      </x:c>
      <x:c r="E45" s="5" t="n">
        <x:v>79</x:v>
      </x:c>
      <x:c r="F45" s="6" t="n">
        <x:v>14.5</x:v>
      </x:c>
    </x:row>
    <x:row r="46">
      <x:c r="A46" s="4" t="n">
        <x:v>46192</x:v>
      </x:c>
      <x:c r="B46" s="7" t="str">
        <x:v>60101404</x:v>
      </x:c>
      <x:c r="C46" s="7" t="str">
        <x:v>用户启动游戏</x:v>
      </x:c>
      <x:c r="D46" s="5" t="n">
        <x:v>646</x:v>
      </x:c>
      <x:c r="E46" s="5" t="n">
        <x:v>454</x:v>
      </x:c>
      <x:c r="F46" s="6" t="n">
        <x:v>70.3</x:v>
      </x:c>
    </x:row>
    <x:row r="47">
      <x:c r="A47" s="4" t="n">
        <x:v>46192</x:v>
      </x:c>
      <x:c r="B47" s="7" t="str">
        <x:v>60100102</x:v>
      </x:c>
      <x:c r="C47" s="7" t="str">
        <x:v>本地热门游戏点击</x:v>
      </x:c>
      <x:c r="D47" s="5" t="n">
        <x:v>646</x:v>
      </x:c>
      <x:c r="E47" s="5" t="n">
        <x:v>82</x:v>
      </x:c>
      <x:c r="F47" s="6" t="n">
        <x:v>12.7</x:v>
      </x:c>
    </x:row>
    <x:row r="48">
      <x:c r="A48" s="4" t="n">
        <x:v>46192</x:v>
      </x:c>
      <x:c r="B48" s="7" t="str">
        <x:v>60100103</x:v>
      </x:c>
      <x:c r="C48" s="7" t="str">
        <x:v>推荐列表游戏点击</x:v>
      </x:c>
      <x:c r="D48" s="5" t="n">
        <x:v>646</x:v>
      </x:c>
      <x:c r="E48" s="5" t="n">
        <x:v>6</x:v>
      </x:c>
      <x:c r="F48" s="6" t="n">
        <x:v>0.9</x:v>
      </x:c>
    </x:row>
    <x:row r="49">
      <x:c r="A49" s="4" t="n">
        <x:v>46192</x:v>
      </x:c>
      <x:c r="B49" s="7" t="str">
        <x:v>60100201</x:v>
      </x:c>
      <x:c r="C49" s="7" t="str">
        <x:v>首屏banner点击</x:v>
      </x:c>
      <x:c r="D49" s="5" t="n">
        <x:v>646</x:v>
      </x:c>
      <x:c r="E49" s="5" t="n">
        <x:v>7</x:v>
      </x:c>
      <x:c r="F49" s="6" t="n">
        <x:v>1.1</x:v>
      </x:c>
    </x:row>
    <x:row r="50">
      <x:c r="A50" s="4" t="n">
        <x:v>46192</x:v>
      </x:c>
      <x:c r="B50" s="7" t="str">
        <x:v>60100301</x:v>
      </x:c>
      <x:c r="C50" s="7" t="str">
        <x:v>次屏banner点击</x:v>
      </x:c>
      <x:c r="D50" s="5" t="n">
        <x:v>646</x:v>
      </x:c>
      <x:c r="E50" s="5" t="n">
        <x:v>1</x:v>
      </x:c>
      <x:c r="F50" s="6" t="n">
        <x:v>0.2</x:v>
      </x:c>
    </x:row>
    <x:row r="51">
      <x:c r="A51" s="4" t="n">
        <x:v>46192</x:v>
      </x:c>
      <x:c r="B51" s="7" t="str">
        <x:v>60100602</x:v>
      </x:c>
      <x:c r="C51" s="7" t="str">
        <x:v>活动banner点击</x:v>
      </x:c>
      <x:c r="D51" s="5" t="n">
        <x:v>646</x:v>
      </x:c>
      <x:c r="E51" s="5" t="n">
        <x:v>13</x:v>
      </x:c>
      <x:c r="F51" s="6" t="n">
        <x:v>2</x:v>
      </x:c>
    </x:row>
    <x:row r="52">
      <x:c r="A52" s="4" t="n">
        <x:v>46192</x:v>
      </x:c>
      <x:c r="B52" s="7" t="str">
        <x:v>60100402</x:v>
      </x:c>
      <x:c r="C52" s="7" t="str">
        <x:v>首屏弹窗广告点击</x:v>
      </x:c>
      <x:c r="D52" s="5" t="n">
        <x:v>646</x:v>
      </x:c>
      <x:c r="E52" s="5" t="n">
        <x:v>3</x:v>
      </x:c>
      <x:c r="F52" s="6" t="n">
        <x:v>0.5</x:v>
      </x:c>
    </x:row>
    <x:row r="53">
      <x:c r="A53" s="4" t="n">
        <x:v>46192</x:v>
      </x:c>
      <x:c r="B53" s="7" t="str">
        <x:v>60100703</x:v>
      </x:c>
      <x:c r="C53" s="7" t="str">
        <x:v>搜索游戏点击</x:v>
      </x:c>
      <x:c r="D53" s="5" t="n">
        <x:v>646</x:v>
      </x:c>
      <x:c r="E53" s="5" t="n">
        <x:v>79</x:v>
      </x:c>
      <x:c r="F53" s="6" t="n">
        <x:v>12.2</x:v>
      </x:c>
    </x:row>
    <x:row r="54">
      <x:c r="A54" s="4" t="n">
        <x:v>46192</x:v>
      </x:c>
      <x:c r="B54" s="7" t="str">
        <x:v>60102605</x:v>
      </x:c>
      <x:c r="C54" s="7" t="str">
        <x:v>页签内点击</x:v>
      </x:c>
      <x:c r="D54" s="5" t="n">
        <x:v>646</x:v>
      </x:c>
      <x:c r="E54" s="5" t="n">
        <x:v>23</x:v>
      </x:c>
      <x:c r="F54" s="6" t="n">
        <x:v>3.6</x:v>
      </x:c>
    </x:row>
    <x:row r="55">
      <x:c r="A55" s="4" t="n">
        <x:v>46192</x:v>
      </x:c>
      <x:c r="B55" s="7" t="str">
        <x:v>60103909</x:v>
      </x:c>
      <x:c r="C55" s="7" t="str">
        <x:v>游戏模块开始玩点击</x:v>
      </x:c>
      <x:c r="D55" s="5" t="n">
        <x:v>646</x:v>
      </x:c>
      <x:c r="E55" s="5" t="n">
        <x:v>151</x:v>
      </x:c>
      <x:c r="F55" s="6" t="n">
        <x:v>23.4</x:v>
      </x:c>
    </x:row>
    <x:row r="56">
      <x:c r="A56" s="4" t="n">
        <x:v>46192</x:v>
      </x:c>
      <x:c r="B56" s="7" t="str">
        <x:v>60103948</x:v>
      </x:c>
      <x:c r="C56" s="7" t="str">
        <x:v>家乡专区游戏点击</x:v>
      </x:c>
      <x:c r="D56" s="5" t="n">
        <x:v>646</x:v>
      </x:c>
      <x:c r="E56" s="5" t="n">
        <x:v>90</x:v>
      </x:c>
      <x:c r="F56" s="6" t="n">
        <x:v>13.9</x:v>
      </x:c>
    </x:row>
    <x:row r="57">
      <x:c r="A57" s="4" t="n">
        <x:v>46193</x:v>
      </x:c>
      <x:c r="B57" s="7" t="str">
        <x:v>60101404</x:v>
      </x:c>
      <x:c r="C57" s="7" t="str">
        <x:v>用户启动游戏</x:v>
      </x:c>
      <x:c r="D57" s="5" t="n">
        <x:v>579</x:v>
      </x:c>
      <x:c r="E57" s="5" t="n">
        <x:v>406</x:v>
      </x:c>
      <x:c r="F57" s="6" t="n">
        <x:v>70.1</x:v>
      </x:c>
    </x:row>
    <x:row r="58">
      <x:c r="A58" s="4" t="n">
        <x:v>46193</x:v>
      </x:c>
      <x:c r="B58" s="7" t="str">
        <x:v>60100102</x:v>
      </x:c>
      <x:c r="C58" s="7" t="str">
        <x:v>本地热门游戏点击</x:v>
      </x:c>
      <x:c r="D58" s="5" t="n">
        <x:v>579</x:v>
      </x:c>
      <x:c r="E58" s="5" t="n">
        <x:v>90</x:v>
      </x:c>
      <x:c r="F58" s="6" t="n">
        <x:v>15.5</x:v>
      </x:c>
    </x:row>
    <x:row r="59">
      <x:c r="A59" s="4" t="n">
        <x:v>46193</x:v>
      </x:c>
      <x:c r="B59" s="7" t="str">
        <x:v>60100103</x:v>
      </x:c>
      <x:c r="C59" s="7" t="str">
        <x:v>推荐列表游戏点击</x:v>
      </x:c>
      <x:c r="D59" s="5" t="n">
        <x:v>579</x:v>
      </x:c>
      <x:c r="E59" s="5" t="n">
        <x:v>8</x:v>
      </x:c>
      <x:c r="F59" s="6" t="n">
        <x:v>1.4</x:v>
      </x:c>
    </x:row>
    <x:row r="60">
      <x:c r="A60" s="4" t="n">
        <x:v>46193</x:v>
      </x:c>
      <x:c r="B60" s="7" t="str">
        <x:v>60100201</x:v>
      </x:c>
      <x:c r="C60" s="7" t="str">
        <x:v>首屏banner点击</x:v>
      </x:c>
      <x:c r="D60" s="5" t="n">
        <x:v>579</x:v>
      </x:c>
      <x:c r="E60" s="5" t="n">
        <x:v>3</x:v>
      </x:c>
      <x:c r="F60" s="6" t="n">
        <x:v>0.5</x:v>
      </x:c>
    </x:row>
    <x:row r="61">
      <x:c r="A61" s="4" t="n">
        <x:v>46193</x:v>
      </x:c>
      <x:c r="B61" s="7" t="str">
        <x:v>60100301</x:v>
      </x:c>
      <x:c r="C61" s="7" t="str">
        <x:v>次屏banner点击</x:v>
      </x:c>
      <x:c r="D61" s="5" t="n">
        <x:v>579</x:v>
      </x:c>
      <x:c r="E61" s="5" t="n">
        <x:v>2</x:v>
      </x:c>
      <x:c r="F61" s="6" t="n">
        <x:v>0.3</x:v>
      </x:c>
    </x:row>
    <x:row r="62">
      <x:c r="A62" s="4" t="n">
        <x:v>46193</x:v>
      </x:c>
      <x:c r="B62" s="7" t="str">
        <x:v>60100602</x:v>
      </x:c>
      <x:c r="C62" s="7" t="str">
        <x:v>活动banner点击</x:v>
      </x:c>
      <x:c r="D62" s="5" t="n">
        <x:v>579</x:v>
      </x:c>
      <x:c r="E62" s="5" t="n">
        <x:v>9</x:v>
      </x:c>
      <x:c r="F62" s="6" t="n">
        <x:v>1.6</x:v>
      </x:c>
    </x:row>
    <x:row r="63">
      <x:c r="A63" s="4" t="n">
        <x:v>46193</x:v>
      </x:c>
      <x:c r="B63" s="7" t="str">
        <x:v>60100402</x:v>
      </x:c>
      <x:c r="C63" s="7" t="str">
        <x:v>首屏弹窗广告点击</x:v>
      </x:c>
      <x:c r="D63" s="5" t="n">
        <x:v>579</x:v>
      </x:c>
      <x:c r="E63" s="5" t="n">
        <x:v>0</x:v>
      </x:c>
      <x:c r="F63" s="6" t="n">
        <x:v>0</x:v>
      </x:c>
    </x:row>
    <x:row r="64">
      <x:c r="A64" s="4" t="n">
        <x:v>46193</x:v>
      </x:c>
      <x:c r="B64" s="7" t="str">
        <x:v>60100703</x:v>
      </x:c>
      <x:c r="C64" s="7" t="str">
        <x:v>搜索游戏点击</x:v>
      </x:c>
      <x:c r="D64" s="5" t="n">
        <x:v>579</x:v>
      </x:c>
      <x:c r="E64" s="5" t="n">
        <x:v>77</x:v>
      </x:c>
      <x:c r="F64" s="6" t="n">
        <x:v>13.3</x:v>
      </x:c>
    </x:row>
    <x:row r="65">
      <x:c r="A65" s="4" t="n">
        <x:v>46193</x:v>
      </x:c>
      <x:c r="B65" s="7" t="str">
        <x:v>60102605</x:v>
      </x:c>
      <x:c r="C65" s="7" t="str">
        <x:v>页签内点击</x:v>
      </x:c>
      <x:c r="D65" s="5" t="n">
        <x:v>579</x:v>
      </x:c>
      <x:c r="E65" s="5" t="n">
        <x:v>31</x:v>
      </x:c>
      <x:c r="F65" s="6" t="n">
        <x:v>5.4</x:v>
      </x:c>
    </x:row>
    <x:row r="66">
      <x:c r="A66" s="4" t="n">
        <x:v>46193</x:v>
      </x:c>
      <x:c r="B66" s="7" t="str">
        <x:v>60103909</x:v>
      </x:c>
      <x:c r="C66" s="7" t="str">
        <x:v>游戏模块开始玩点击</x:v>
      </x:c>
      <x:c r="D66" s="5" t="n">
        <x:v>579</x:v>
      </x:c>
      <x:c r="E66" s="5" t="n">
        <x:v>127</x:v>
      </x:c>
      <x:c r="F66" s="6" t="n">
        <x:v>21.9</x:v>
      </x:c>
    </x:row>
    <x:row r="67">
      <x:c r="A67" s="4" t="n">
        <x:v>46193</x:v>
      </x:c>
      <x:c r="B67" s="7" t="str">
        <x:v>60103948</x:v>
      </x:c>
      <x:c r="C67" s="7" t="str">
        <x:v>家乡专区游戏点击</x:v>
      </x:c>
      <x:c r="D67" s="5" t="n">
        <x:v>579</x:v>
      </x:c>
      <x:c r="E67" s="5" t="n">
        <x:v>90</x:v>
      </x:c>
      <x:c r="F67" s="6" t="n">
        <x:v>15.5</x:v>
      </x:c>
    </x:row>
    <x:row r="68">
      <x:c r="A68" s="4" t="n">
        <x:v>46194</x:v>
      </x:c>
      <x:c r="B68" s="7" t="str">
        <x:v>60101404</x:v>
      </x:c>
      <x:c r="C68" s="7" t="str">
        <x:v>用户启动游戏</x:v>
      </x:c>
      <x:c r="D68" s="5" t="n">
        <x:v>579</x:v>
      </x:c>
      <x:c r="E68" s="5" t="n">
        <x:v>395</x:v>
      </x:c>
      <x:c r="F68" s="6" t="n">
        <x:v>68.2</x:v>
      </x:c>
    </x:row>
    <x:row r="69">
      <x:c r="A69" s="4" t="n">
        <x:v>46194</x:v>
      </x:c>
      <x:c r="B69" s="7" t="str">
        <x:v>60100102</x:v>
      </x:c>
      <x:c r="C69" s="7" t="str">
        <x:v>本地热门游戏点击</x:v>
      </x:c>
      <x:c r="D69" s="5" t="n">
        <x:v>579</x:v>
      </x:c>
      <x:c r="E69" s="5" t="n">
        <x:v>78</x:v>
      </x:c>
      <x:c r="F69" s="6" t="n">
        <x:v>13.5</x:v>
      </x:c>
    </x:row>
    <x:row r="70">
      <x:c r="A70" s="4" t="n">
        <x:v>46194</x:v>
      </x:c>
      <x:c r="B70" s="7" t="str">
        <x:v>60100103</x:v>
      </x:c>
      <x:c r="C70" s="7" t="str">
        <x:v>推荐列表游戏点击</x:v>
      </x:c>
      <x:c r="D70" s="5" t="n">
        <x:v>579</x:v>
      </x:c>
      <x:c r="E70" s="5" t="n">
        <x:v>2</x:v>
      </x:c>
      <x:c r="F70" s="6" t="n">
        <x:v>0.3</x:v>
      </x:c>
    </x:row>
    <x:row r="71">
      <x:c r="A71" s="4" t="n">
        <x:v>46194</x:v>
      </x:c>
      <x:c r="B71" s="7" t="str">
        <x:v>60100201</x:v>
      </x:c>
      <x:c r="C71" s="7" t="str">
        <x:v>首屏banner点击</x:v>
      </x:c>
      <x:c r="D71" s="5" t="n">
        <x:v>579</x:v>
      </x:c>
      <x:c r="E71" s="5" t="n">
        <x:v>6</x:v>
      </x:c>
      <x:c r="F71" s="6" t="n">
        <x:v>1</x:v>
      </x:c>
    </x:row>
    <x:row r="72">
      <x:c r="A72" s="4" t="n">
        <x:v>46194</x:v>
      </x:c>
      <x:c r="B72" s="7" t="str">
        <x:v>60100301</x:v>
      </x:c>
      <x:c r="C72" s="7" t="str">
        <x:v>次屏banner点击</x:v>
      </x:c>
      <x:c r="D72" s="5" t="n">
        <x:v>579</x:v>
      </x:c>
      <x:c r="E72" s="5" t="n">
        <x:v>3</x:v>
      </x:c>
      <x:c r="F72" s="6" t="n">
        <x:v>0.5</x:v>
      </x:c>
    </x:row>
    <x:row r="73">
      <x:c r="A73" s="4" t="n">
        <x:v>46194</x:v>
      </x:c>
      <x:c r="B73" s="7" t="str">
        <x:v>60100602</x:v>
      </x:c>
      <x:c r="C73" s="7" t="str">
        <x:v>活动banner点击</x:v>
      </x:c>
      <x:c r="D73" s="5" t="n">
        <x:v>579</x:v>
      </x:c>
      <x:c r="E73" s="5" t="n">
        <x:v>12</x:v>
      </x:c>
      <x:c r="F73" s="6" t="n">
        <x:v>2.1</x:v>
      </x:c>
    </x:row>
    <x:row r="74">
      <x:c r="A74" s="4" t="n">
        <x:v>46194</x:v>
      </x:c>
      <x:c r="B74" s="7" t="str">
        <x:v>60100402</x:v>
      </x:c>
      <x:c r="C74" s="7" t="str">
        <x:v>首屏弹窗广告点击</x:v>
      </x:c>
      <x:c r="D74" s="5" t="n">
        <x:v>579</x:v>
      </x:c>
      <x:c r="E74" s="5" t="n">
        <x:v>1</x:v>
      </x:c>
      <x:c r="F74" s="6" t="n">
        <x:v>0.2</x:v>
      </x:c>
    </x:row>
    <x:row r="75">
      <x:c r="A75" s="4" t="n">
        <x:v>46194</x:v>
      </x:c>
      <x:c r="B75" s="7" t="str">
        <x:v>60100703</x:v>
      </x:c>
      <x:c r="C75" s="7" t="str">
        <x:v>搜索游戏点击</x:v>
      </x:c>
      <x:c r="D75" s="5" t="n">
        <x:v>579</x:v>
      </x:c>
      <x:c r="E75" s="5" t="n">
        <x:v>69</x:v>
      </x:c>
      <x:c r="F75" s="6" t="n">
        <x:v>11.9</x:v>
      </x:c>
    </x:row>
    <x:row r="76">
      <x:c r="A76" s="4" t="n">
        <x:v>46194</x:v>
      </x:c>
      <x:c r="B76" s="7" t="str">
        <x:v>60102605</x:v>
      </x:c>
      <x:c r="C76" s="7" t="str">
        <x:v>页签内点击</x:v>
      </x:c>
      <x:c r="D76" s="5" t="n">
        <x:v>579</x:v>
      </x:c>
      <x:c r="E76" s="5" t="n">
        <x:v>32</x:v>
      </x:c>
      <x:c r="F76" s="6" t="n">
        <x:v>5.5</x:v>
      </x:c>
    </x:row>
    <x:row r="77">
      <x:c r="A77" s="4" t="n">
        <x:v>46194</x:v>
      </x:c>
      <x:c r="B77" s="7" t="str">
        <x:v>60103909</x:v>
      </x:c>
      <x:c r="C77" s="7" t="str">
        <x:v>游戏模块开始玩点击</x:v>
      </x:c>
      <x:c r="D77" s="5" t="n">
        <x:v>579</x:v>
      </x:c>
      <x:c r="E77" s="5" t="n">
        <x:v>114</x:v>
      </x:c>
      <x:c r="F77" s="6" t="n">
        <x:v>19.7</x:v>
      </x:c>
    </x:row>
    <x:row r="78">
      <x:c r="A78" s="4" t="n">
        <x:v>46194</x:v>
      </x:c>
      <x:c r="B78" s="7" t="str">
        <x:v>60103948</x:v>
      </x:c>
      <x:c r="C78" s="7" t="str">
        <x:v>家乡专区游戏点击</x:v>
      </x:c>
      <x:c r="D78" s="5" t="n">
        <x:v>579</x:v>
      </x:c>
      <x:c r="E78" s="5" t="n">
        <x:v>82</x:v>
      </x:c>
      <x:c r="F78" s="6" t="n">
        <x:v>14.2</x:v>
      </x:c>
    </x:row>
    <x:row r="79">
      <x:c r="A79" s="4" t="n">
        <x:v>46195</x:v>
      </x:c>
      <x:c r="B79" s="7" t="str">
        <x:v>60101404</x:v>
      </x:c>
      <x:c r="C79" s="7" t="str">
        <x:v>用户启动游戏</x:v>
      </x:c>
      <x:c r="D79" s="5" t="n">
        <x:v>536</x:v>
      </x:c>
      <x:c r="E79" s="5" t="n">
        <x:v>357</x:v>
      </x:c>
      <x:c r="F79" s="6" t="n">
        <x:v>66.6</x:v>
      </x:c>
    </x:row>
    <x:row r="80">
      <x:c r="A80" s="4" t="n">
        <x:v>46195</x:v>
      </x:c>
      <x:c r="B80" s="7" t="str">
        <x:v>60100102</x:v>
      </x:c>
      <x:c r="C80" s="7" t="str">
        <x:v>本地热门游戏点击</x:v>
      </x:c>
      <x:c r="D80" s="5" t="n">
        <x:v>536</x:v>
      </x:c>
      <x:c r="E80" s="5" t="n">
        <x:v>79</x:v>
      </x:c>
      <x:c r="F80" s="6" t="n">
        <x:v>14.7</x:v>
      </x:c>
    </x:row>
    <x:row r="81">
      <x:c r="A81" s="4" t="n">
        <x:v>46195</x:v>
      </x:c>
      <x:c r="B81" s="7" t="str">
        <x:v>60100103</x:v>
      </x:c>
      <x:c r="C81" s="7" t="str">
        <x:v>推荐列表游戏点击</x:v>
      </x:c>
      <x:c r="D81" s="5" t="n">
        <x:v>536</x:v>
      </x:c>
      <x:c r="E81" s="5" t="n">
        <x:v>3</x:v>
      </x:c>
      <x:c r="F81" s="6" t="n">
        <x:v>0.6</x:v>
      </x:c>
    </x:row>
    <x:row r="82">
      <x:c r="A82" s="4" t="n">
        <x:v>46195</x:v>
      </x:c>
      <x:c r="B82" s="7" t="str">
        <x:v>60100201</x:v>
      </x:c>
      <x:c r="C82" s="7" t="str">
        <x:v>首屏banner点击</x:v>
      </x:c>
      <x:c r="D82" s="5" t="n">
        <x:v>536</x:v>
      </x:c>
      <x:c r="E82" s="5" t="n">
        <x:v>3</x:v>
      </x:c>
      <x:c r="F82" s="6" t="n">
        <x:v>0.6</x:v>
      </x:c>
    </x:row>
    <x:row r="83">
      <x:c r="A83" s="4" t="n">
        <x:v>46195</x:v>
      </x:c>
      <x:c r="B83" s="7" t="str">
        <x:v>60100301</x:v>
      </x:c>
      <x:c r="C83" s="7" t="str">
        <x:v>次屏banner点击</x:v>
      </x:c>
      <x:c r="D83" s="5" t="n">
        <x:v>536</x:v>
      </x:c>
      <x:c r="E83" s="5" t="n">
        <x:v>2</x:v>
      </x:c>
      <x:c r="F83" s="6" t="n">
        <x:v>0.4</x:v>
      </x:c>
    </x:row>
    <x:row r="84">
      <x:c r="A84" s="4" t="n">
        <x:v>46195</x:v>
      </x:c>
      <x:c r="B84" s="7" t="str">
        <x:v>60100602</x:v>
      </x:c>
      <x:c r="C84" s="7" t="str">
        <x:v>活动banner点击</x:v>
      </x:c>
      <x:c r="D84" s="5" t="n">
        <x:v>536</x:v>
      </x:c>
      <x:c r="E84" s="5" t="n">
        <x:v>0</x:v>
      </x:c>
      <x:c r="F84" s="6" t="n">
        <x:v>0</x:v>
      </x:c>
    </x:row>
    <x:row r="85">
      <x:c r="A85" s="4" t="n">
        <x:v>46195</x:v>
      </x:c>
      <x:c r="B85" s="7" t="str">
        <x:v>60100402</x:v>
      </x:c>
      <x:c r="C85" s="7" t="str">
        <x:v>首屏弹窗广告点击</x:v>
      </x:c>
      <x:c r="D85" s="5" t="n">
        <x:v>536</x:v>
      </x:c>
      <x:c r="E85" s="5" t="n">
        <x:v>0</x:v>
      </x:c>
      <x:c r="F85" s="6" t="n">
        <x:v>0</x:v>
      </x:c>
    </x:row>
    <x:row r="86">
      <x:c r="A86" s="4" t="n">
        <x:v>46195</x:v>
      </x:c>
      <x:c r="B86" s="7" t="str">
        <x:v>60100703</x:v>
      </x:c>
      <x:c r="C86" s="7" t="str">
        <x:v>搜索游戏点击</x:v>
      </x:c>
      <x:c r="D86" s="5" t="n">
        <x:v>536</x:v>
      </x:c>
      <x:c r="E86" s="5" t="n">
        <x:v>71</x:v>
      </x:c>
      <x:c r="F86" s="6" t="n">
        <x:v>13.2</x:v>
      </x:c>
    </x:row>
    <x:row r="87">
      <x:c r="A87" s="4" t="n">
        <x:v>46195</x:v>
      </x:c>
      <x:c r="B87" s="7" t="str">
        <x:v>60102605</x:v>
      </x:c>
      <x:c r="C87" s="7" t="str">
        <x:v>页签内点击</x:v>
      </x:c>
      <x:c r="D87" s="5" t="n">
        <x:v>536</x:v>
      </x:c>
      <x:c r="E87" s="5" t="n">
        <x:v>20</x:v>
      </x:c>
      <x:c r="F87" s="6" t="n">
        <x:v>3.7</x:v>
      </x:c>
    </x:row>
    <x:row r="88">
      <x:c r="A88" s="4" t="n">
        <x:v>46195</x:v>
      </x:c>
      <x:c r="B88" s="7" t="str">
        <x:v>60103909</x:v>
      </x:c>
      <x:c r="C88" s="7" t="str">
        <x:v>游戏模块开始玩点击</x:v>
      </x:c>
      <x:c r="D88" s="5" t="n">
        <x:v>536</x:v>
      </x:c>
      <x:c r="E88" s="5" t="n">
        <x:v>103</x:v>
      </x:c>
      <x:c r="F88" s="6" t="n">
        <x:v>19.2</x:v>
      </x:c>
    </x:row>
    <x:row r="89">
      <x:c r="A89" s="4" t="n">
        <x:v>46195</x:v>
      </x:c>
      <x:c r="B89" s="7" t="str">
        <x:v>60103948</x:v>
      </x:c>
      <x:c r="C89" s="7" t="str">
        <x:v>家乡专区游戏点击</x:v>
      </x:c>
      <x:c r="D89" s="5" t="n">
        <x:v>536</x:v>
      </x:c>
      <x:c r="E89" s="5" t="n">
        <x:v>82</x:v>
      </x:c>
      <x:c r="F89" s="6" t="n">
        <x:v>15.3</x:v>
      </x:c>
    </x:row>
    <x:row r="90">
      <x:c r="A90" s="4" t="n">
        <x:v>46196</x:v>
      </x:c>
      <x:c r="B90" s="7" t="str">
        <x:v>60101404</x:v>
      </x:c>
      <x:c r="C90" s="7" t="str">
        <x:v>用户启动游戏</x:v>
      </x:c>
      <x:c r="D90" s="5" t="n">
        <x:v>520</x:v>
      </x:c>
      <x:c r="E90" s="5" t="n">
        <x:v>351</x:v>
      </x:c>
      <x:c r="F90" s="6" t="n">
        <x:v>67.5</x:v>
      </x:c>
    </x:row>
    <x:row r="91">
      <x:c r="A91" s="4" t="n">
        <x:v>46196</x:v>
      </x:c>
      <x:c r="B91" s="7" t="str">
        <x:v>60100102</x:v>
      </x:c>
      <x:c r="C91" s="7" t="str">
        <x:v>本地热门游戏点击</x:v>
      </x:c>
      <x:c r="D91" s="5" t="n">
        <x:v>520</x:v>
      </x:c>
      <x:c r="E91" s="5" t="n">
        <x:v>67</x:v>
      </x:c>
      <x:c r="F91" s="6" t="n">
        <x:v>12.9</x:v>
      </x:c>
    </x:row>
    <x:row r="92">
      <x:c r="A92" s="4" t="n">
        <x:v>46196</x:v>
      </x:c>
      <x:c r="B92" s="7" t="str">
        <x:v>60100103</x:v>
      </x:c>
      <x:c r="C92" s="7" t="str">
        <x:v>推荐列表游戏点击</x:v>
      </x:c>
      <x:c r="D92" s="5" t="n">
        <x:v>520</x:v>
      </x:c>
      <x:c r="E92" s="5" t="n">
        <x:v>7</x:v>
      </x:c>
      <x:c r="F92" s="6" t="n">
        <x:v>1.3</x:v>
      </x:c>
    </x:row>
    <x:row r="93">
      <x:c r="A93" s="4" t="n">
        <x:v>46196</x:v>
      </x:c>
      <x:c r="B93" s="7" t="str">
        <x:v>60100201</x:v>
      </x:c>
      <x:c r="C93" s="7" t="str">
        <x:v>首屏banner点击</x:v>
      </x:c>
      <x:c r="D93" s="5" t="n">
        <x:v>520</x:v>
      </x:c>
      <x:c r="E93" s="5" t="n">
        <x:v>4</x:v>
      </x:c>
      <x:c r="F93" s="6" t="n">
        <x:v>0.8</x:v>
      </x:c>
    </x:row>
    <x:row r="94">
      <x:c r="A94" s="4" t="n">
        <x:v>46196</x:v>
      </x:c>
      <x:c r="B94" s="7" t="str">
        <x:v>60100301</x:v>
      </x:c>
      <x:c r="C94" s="7" t="str">
        <x:v>次屏banner点击</x:v>
      </x:c>
      <x:c r="D94" s="5" t="n">
        <x:v>520</x:v>
      </x:c>
      <x:c r="E94" s="5" t="n">
        <x:v>1</x:v>
      </x:c>
      <x:c r="F94" s="6" t="n">
        <x:v>0.2</x:v>
      </x:c>
    </x:row>
    <x:row r="95">
      <x:c r="A95" s="4" t="n">
        <x:v>46196</x:v>
      </x:c>
      <x:c r="B95" s="7" t="str">
        <x:v>60100602</x:v>
      </x:c>
      <x:c r="C95" s="7" t="str">
        <x:v>活动banner点击</x:v>
      </x:c>
      <x:c r="D95" s="5" t="n">
        <x:v>520</x:v>
      </x:c>
      <x:c r="E95" s="5" t="n">
        <x:v>0</x:v>
      </x:c>
      <x:c r="F95" s="6" t="n">
        <x:v>0</x:v>
      </x:c>
    </x:row>
    <x:row r="96">
      <x:c r="A96" s="4" t="n">
        <x:v>46196</x:v>
      </x:c>
      <x:c r="B96" s="7" t="str">
        <x:v>60100402</x:v>
      </x:c>
      <x:c r="C96" s="7" t="str">
        <x:v>首屏弹窗广告点击</x:v>
      </x:c>
      <x:c r="D96" s="5" t="n">
        <x:v>520</x:v>
      </x:c>
      <x:c r="E96" s="5" t="n">
        <x:v>0</x:v>
      </x:c>
      <x:c r="F96" s="6" t="n">
        <x:v>0</x:v>
      </x:c>
    </x:row>
    <x:row r="97">
      <x:c r="A97" s="4" t="n">
        <x:v>46196</x:v>
      </x:c>
      <x:c r="B97" s="7" t="str">
        <x:v>60100703</x:v>
      </x:c>
      <x:c r="C97" s="7" t="str">
        <x:v>搜索游戏点击</x:v>
      </x:c>
      <x:c r="D97" s="5" t="n">
        <x:v>520</x:v>
      </x:c>
      <x:c r="E97" s="5" t="n">
        <x:v>78</x:v>
      </x:c>
      <x:c r="F97" s="6" t="n">
        <x:v>15</x:v>
      </x:c>
    </x:row>
    <x:row r="98">
      <x:c r="A98" s="4" t="n">
        <x:v>46196</x:v>
      </x:c>
      <x:c r="B98" s="7" t="str">
        <x:v>60102605</x:v>
      </x:c>
      <x:c r="C98" s="7" t="str">
        <x:v>页签内点击</x:v>
      </x:c>
      <x:c r="D98" s="5" t="n">
        <x:v>520</x:v>
      </x:c>
      <x:c r="E98" s="5" t="n">
        <x:v>19</x:v>
      </x:c>
      <x:c r="F98" s="6" t="n">
        <x:v>3.7</x:v>
      </x:c>
    </x:row>
    <x:row r="99">
      <x:c r="A99" s="4" t="n">
        <x:v>46196</x:v>
      </x:c>
      <x:c r="B99" s="7" t="str">
        <x:v>60103909</x:v>
      </x:c>
      <x:c r="C99" s="7" t="str">
        <x:v>游戏模块开始玩点击</x:v>
      </x:c>
      <x:c r="D99" s="5" t="n">
        <x:v>520</x:v>
      </x:c>
      <x:c r="E99" s="5" t="n">
        <x:v>97</x:v>
      </x:c>
      <x:c r="F99" s="6" t="n">
        <x:v>18.7</x:v>
      </x:c>
    </x:row>
    <x:row r="100">
      <x:c r="A100" s="4" t="n">
        <x:v>46196</x:v>
      </x:c>
      <x:c r="B100" s="7" t="str">
        <x:v>60103948</x:v>
      </x:c>
      <x:c r="C100" s="7" t="str">
        <x:v>家乡专区游戏点击</x:v>
      </x:c>
      <x:c r="D100" s="5" t="n">
        <x:v>520</x:v>
      </x:c>
      <x:c r="E100" s="5" t="n">
        <x:v>87</x:v>
      </x:c>
      <x:c r="F100" s="6" t="n">
        <x:v>16.7</x:v>
      </x:c>
    </x:row>
    <x:row r="101">
      <x:c r="A101" s="4" t="n">
        <x:v>46197</x:v>
      </x:c>
      <x:c r="B101" s="7" t="str">
        <x:v>60101404</x:v>
      </x:c>
      <x:c r="C101" s="7" t="str">
        <x:v>用户启动游戏</x:v>
      </x:c>
      <x:c r="D101" s="5" t="n">
        <x:v>547</x:v>
      </x:c>
      <x:c r="E101" s="5" t="n">
        <x:v>376</x:v>
      </x:c>
      <x:c r="F101" s="6" t="n">
        <x:v>68.7</x:v>
      </x:c>
    </x:row>
    <x:row r="102">
      <x:c r="A102" s="4" t="n">
        <x:v>46197</x:v>
      </x:c>
      <x:c r="B102" s="7" t="str">
        <x:v>60100102</x:v>
      </x:c>
      <x:c r="C102" s="7" t="str">
        <x:v>本地热门游戏点击</x:v>
      </x:c>
      <x:c r="D102" s="5" t="n">
        <x:v>547</x:v>
      </x:c>
      <x:c r="E102" s="5" t="n">
        <x:v>79</x:v>
      </x:c>
      <x:c r="F102" s="6" t="n">
        <x:v>14.4</x:v>
      </x:c>
    </x:row>
    <x:row r="103">
      <x:c r="A103" s="4" t="n">
        <x:v>46197</x:v>
      </x:c>
      <x:c r="B103" s="7" t="str">
        <x:v>60100103</x:v>
      </x:c>
      <x:c r="C103" s="7" t="str">
        <x:v>推荐列表游戏点击</x:v>
      </x:c>
      <x:c r="D103" s="5" t="n">
        <x:v>547</x:v>
      </x:c>
      <x:c r="E103" s="5" t="n">
        <x:v>9</x:v>
      </x:c>
      <x:c r="F103" s="6" t="n">
        <x:v>1.6</x:v>
      </x:c>
    </x:row>
    <x:row r="104">
      <x:c r="A104" s="4" t="n">
        <x:v>46197</x:v>
      </x:c>
      <x:c r="B104" s="7" t="str">
        <x:v>60100201</x:v>
      </x:c>
      <x:c r="C104" s="7" t="str">
        <x:v>首屏banner点击</x:v>
      </x:c>
      <x:c r="D104" s="5" t="n">
        <x:v>547</x:v>
      </x:c>
      <x:c r="E104" s="5" t="n">
        <x:v>2</x:v>
      </x:c>
      <x:c r="F104" s="6" t="n">
        <x:v>0.4</x:v>
      </x:c>
    </x:row>
    <x:row r="105">
      <x:c r="A105" s="4" t="n">
        <x:v>46197</x:v>
      </x:c>
      <x:c r="B105" s="7" t="str">
        <x:v>60100301</x:v>
      </x:c>
      <x:c r="C105" s="7" t="str">
        <x:v>次屏banner点击</x:v>
      </x:c>
      <x:c r="D105" s="5" t="n">
        <x:v>547</x:v>
      </x:c>
      <x:c r="E105" s="5" t="n">
        <x:v>1</x:v>
      </x:c>
      <x:c r="F105" s="6" t="n">
        <x:v>0.2</x:v>
      </x:c>
    </x:row>
    <x:row r="106">
      <x:c r="A106" s="4" t="n">
        <x:v>46197</x:v>
      </x:c>
      <x:c r="B106" s="7" t="str">
        <x:v>60100602</x:v>
      </x:c>
      <x:c r="C106" s="7" t="str">
        <x:v>活动banner点击</x:v>
      </x:c>
      <x:c r="D106" s="5" t="n">
        <x:v>547</x:v>
      </x:c>
      <x:c r="E106" s="5" t="n">
        <x:v>0</x:v>
      </x:c>
      <x:c r="F106" s="6" t="n">
        <x:v>0</x:v>
      </x:c>
    </x:row>
    <x:row r="107">
      <x:c r="A107" s="4" t="n">
        <x:v>46197</x:v>
      </x:c>
      <x:c r="B107" s="7" t="str">
        <x:v>60100402</x:v>
      </x:c>
      <x:c r="C107" s="7" t="str">
        <x:v>首屏弹窗广告点击</x:v>
      </x:c>
      <x:c r="D107" s="5" t="n">
        <x:v>547</x:v>
      </x:c>
      <x:c r="E107" s="5" t="n">
        <x:v>1</x:v>
      </x:c>
      <x:c r="F107" s="6" t="n">
        <x:v>0.2</x:v>
      </x:c>
    </x:row>
    <x:row r="108">
      <x:c r="A108" s="4" t="n">
        <x:v>46197</x:v>
      </x:c>
      <x:c r="B108" s="7" t="str">
        <x:v>60100703</x:v>
      </x:c>
      <x:c r="C108" s="7" t="str">
        <x:v>搜索游戏点击</x:v>
      </x:c>
      <x:c r="D108" s="5" t="n">
        <x:v>547</x:v>
      </x:c>
      <x:c r="E108" s="5" t="n">
        <x:v>66</x:v>
      </x:c>
      <x:c r="F108" s="6" t="n">
        <x:v>12.1</x:v>
      </x:c>
    </x:row>
    <x:row r="109">
      <x:c r="A109" s="4" t="n">
        <x:v>46197</x:v>
      </x:c>
      <x:c r="B109" s="7" t="str">
        <x:v>60102605</x:v>
      </x:c>
      <x:c r="C109" s="7" t="str">
        <x:v>页签内点击</x:v>
      </x:c>
      <x:c r="D109" s="5" t="n">
        <x:v>547</x:v>
      </x:c>
      <x:c r="E109" s="5" t="n">
        <x:v>27</x:v>
      </x:c>
      <x:c r="F109" s="6" t="n">
        <x:v>4.9</x:v>
      </x:c>
    </x:row>
    <x:row r="110">
      <x:c r="A110" s="4" t="n">
        <x:v>46197</x:v>
      </x:c>
      <x:c r="B110" s="7" t="str">
        <x:v>60103909</x:v>
      </x:c>
      <x:c r="C110" s="7" t="str">
        <x:v>游戏模块开始玩点击</x:v>
      </x:c>
      <x:c r="D110" s="5" t="n">
        <x:v>547</x:v>
      </x:c>
      <x:c r="E110" s="5" t="n">
        <x:v>131</x:v>
      </x:c>
      <x:c r="F110" s="6" t="n">
        <x:v>23.9</x:v>
      </x:c>
    </x:row>
    <x:row r="111">
      <x:c r="A111" s="4" t="n">
        <x:v>46197</x:v>
      </x:c>
      <x:c r="B111" s="7" t="str">
        <x:v>60103948</x:v>
      </x:c>
      <x:c r="C111" s="7" t="str">
        <x:v>家乡专区游戏点击</x:v>
      </x:c>
      <x:c r="D111" s="5" t="n">
        <x:v>547</x:v>
      </x:c>
      <x:c r="E111" s="5" t="n">
        <x:v>65</x:v>
      </x:c>
      <x:c r="F111" s="6" t="n">
        <x:v>11.9</x:v>
      </x:c>
    </x:row>
    <x:row r="112">
      <x:c r="A112" s="4" t="n">
        <x:v>46198</x:v>
      </x:c>
      <x:c r="B112" s="7" t="str">
        <x:v>60101404</x:v>
      </x:c>
      <x:c r="C112" s="7" t="str">
        <x:v>用户启动游戏</x:v>
      </x:c>
      <x:c r="D112" s="5" t="n">
        <x:v>518</x:v>
      </x:c>
      <x:c r="E112" s="5" t="n">
        <x:v>356</x:v>
      </x:c>
      <x:c r="F112" s="6" t="n">
        <x:v>68.7</x:v>
      </x:c>
    </x:row>
    <x:row r="113">
      <x:c r="A113" s="4" t="n">
        <x:v>46198</x:v>
      </x:c>
      <x:c r="B113" s="7" t="str">
        <x:v>60100102</x:v>
      </x:c>
      <x:c r="C113" s="7" t="str">
        <x:v>本地热门游戏点击</x:v>
      </x:c>
      <x:c r="D113" s="5" t="n">
        <x:v>518</x:v>
      </x:c>
      <x:c r="E113" s="5" t="n">
        <x:v>77</x:v>
      </x:c>
      <x:c r="F113" s="6" t="n">
        <x:v>14.9</x:v>
      </x:c>
    </x:row>
    <x:row r="114">
      <x:c r="A114" s="4" t="n">
        <x:v>46198</x:v>
      </x:c>
      <x:c r="B114" s="7" t="str">
        <x:v>60100103</x:v>
      </x:c>
      <x:c r="C114" s="7" t="str">
        <x:v>推荐列表游戏点击</x:v>
      </x:c>
      <x:c r="D114" s="5" t="n">
        <x:v>518</x:v>
      </x:c>
      <x:c r="E114" s="5" t="n">
        <x:v>6</x:v>
      </x:c>
      <x:c r="F114" s="6" t="n">
        <x:v>1.2</x:v>
      </x:c>
    </x:row>
    <x:row r="115">
      <x:c r="A115" s="4" t="n">
        <x:v>46198</x:v>
      </x:c>
      <x:c r="B115" s="7" t="str">
        <x:v>60100201</x:v>
      </x:c>
      <x:c r="C115" s="7" t="str">
        <x:v>首屏banner点击</x:v>
      </x:c>
      <x:c r="D115" s="5" t="n">
        <x:v>518</x:v>
      </x:c>
      <x:c r="E115" s="5" t="n">
        <x:v>3</x:v>
      </x:c>
      <x:c r="F115" s="6" t="n">
        <x:v>0.6</x:v>
      </x:c>
    </x:row>
    <x:row r="116">
      <x:c r="A116" s="4" t="n">
        <x:v>46198</x:v>
      </x:c>
      <x:c r="B116" s="7" t="str">
        <x:v>60100301</x:v>
      </x:c>
      <x:c r="C116" s="7" t="str">
        <x:v>次屏banner点击</x:v>
      </x:c>
      <x:c r="D116" s="5" t="n">
        <x:v>518</x:v>
      </x:c>
      <x:c r="E116" s="5" t="n">
        <x:v>0</x:v>
      </x:c>
      <x:c r="F116" s="6" t="n">
        <x:v>0</x:v>
      </x:c>
    </x:row>
    <x:row r="117">
      <x:c r="A117" s="4" t="n">
        <x:v>46198</x:v>
      </x:c>
      <x:c r="B117" s="7" t="str">
        <x:v>60100602</x:v>
      </x:c>
      <x:c r="C117" s="7" t="str">
        <x:v>活动banner点击</x:v>
      </x:c>
      <x:c r="D117" s="5" t="n">
        <x:v>518</x:v>
      </x:c>
      <x:c r="E117" s="5" t="n">
        <x:v>0</x:v>
      </x:c>
      <x:c r="F117" s="6" t="n">
        <x:v>0</x:v>
      </x:c>
    </x:row>
    <x:row r="118">
      <x:c r="A118" s="4" t="n">
        <x:v>46198</x:v>
      </x:c>
      <x:c r="B118" s="7" t="str">
        <x:v>60100402</x:v>
      </x:c>
      <x:c r="C118" s="7" t="str">
        <x:v>首屏弹窗广告点击</x:v>
      </x:c>
      <x:c r="D118" s="5" t="n">
        <x:v>518</x:v>
      </x:c>
      <x:c r="E118" s="5" t="n">
        <x:v>1</x:v>
      </x:c>
      <x:c r="F118" s="6" t="n">
        <x:v>0.2</x:v>
      </x:c>
    </x:row>
    <x:row r="119">
      <x:c r="A119" s="4" t="n">
        <x:v>46198</x:v>
      </x:c>
      <x:c r="B119" s="7" t="str">
        <x:v>60100703</x:v>
      </x:c>
      <x:c r="C119" s="7" t="str">
        <x:v>搜索游戏点击</x:v>
      </x:c>
      <x:c r="D119" s="5" t="n">
        <x:v>518</x:v>
      </x:c>
      <x:c r="E119" s="5" t="n">
        <x:v>64</x:v>
      </x:c>
      <x:c r="F119" s="6" t="n">
        <x:v>12.4</x:v>
      </x:c>
    </x:row>
    <x:row r="120">
      <x:c r="A120" s="4" t="n">
        <x:v>46198</x:v>
      </x:c>
      <x:c r="B120" s="7" t="str">
        <x:v>60102605</x:v>
      </x:c>
      <x:c r="C120" s="7" t="str">
        <x:v>页签内点击</x:v>
      </x:c>
      <x:c r="D120" s="5" t="n">
        <x:v>518</x:v>
      </x:c>
      <x:c r="E120" s="5" t="n">
        <x:v>19</x:v>
      </x:c>
      <x:c r="F120" s="6" t="n">
        <x:v>3.7</x:v>
      </x:c>
    </x:row>
    <x:row r="121">
      <x:c r="A121" s="4" t="n">
        <x:v>46198</x:v>
      </x:c>
      <x:c r="B121" s="7" t="str">
        <x:v>60103909</x:v>
      </x:c>
      <x:c r="C121" s="7" t="str">
        <x:v>游戏模块开始玩点击</x:v>
      </x:c>
      <x:c r="D121" s="5" t="n">
        <x:v>518</x:v>
      </x:c>
      <x:c r="E121" s="5" t="n">
        <x:v>112</x:v>
      </x:c>
      <x:c r="F121" s="6" t="n">
        <x:v>21.6</x:v>
      </x:c>
    </x:row>
    <x:row r="122">
      <x:c r="A122" s="4" t="n">
        <x:v>46198</x:v>
      </x:c>
      <x:c r="B122" s="7" t="str">
        <x:v>60103948</x:v>
      </x:c>
      <x:c r="C122" s="7" t="str">
        <x:v>家乡专区游戏点击</x:v>
      </x:c>
      <x:c r="D122" s="5" t="n">
        <x:v>518</x:v>
      </x:c>
      <x:c r="E122" s="5" t="n">
        <x:v>70</x:v>
      </x:c>
      <x:c r="F122" s="6" t="n">
        <x:v>13.5</x:v>
      </x:c>
    </x:row>
    <x:row r="123">
      <x:c r="A123" s="4" t="n">
        <x:v>46199</x:v>
      </x:c>
      <x:c r="B123" s="7" t="str">
        <x:v>60101404</x:v>
      </x:c>
      <x:c r="C123" s="7" t="str">
        <x:v>用户启动游戏</x:v>
      </x:c>
      <x:c r="D123" s="5" t="n">
        <x:v>529</x:v>
      </x:c>
      <x:c r="E123" s="5" t="n">
        <x:v>375</x:v>
      </x:c>
      <x:c r="F123" s="6" t="n">
        <x:v>70.9</x:v>
      </x:c>
    </x:row>
    <x:row r="124">
      <x:c r="A124" s="4" t="n">
        <x:v>46199</x:v>
      </x:c>
      <x:c r="B124" s="7" t="str">
        <x:v>60100102</x:v>
      </x:c>
      <x:c r="C124" s="7" t="str">
        <x:v>本地热门游戏点击</x:v>
      </x:c>
      <x:c r="D124" s="5" t="n">
        <x:v>529</x:v>
      </x:c>
      <x:c r="E124" s="5" t="n">
        <x:v>74</x:v>
      </x:c>
      <x:c r="F124" s="6" t="n">
        <x:v>14</x:v>
      </x:c>
    </x:row>
    <x:row r="125">
      <x:c r="A125" s="4" t="n">
        <x:v>46199</x:v>
      </x:c>
      <x:c r="B125" s="7" t="str">
        <x:v>60100103</x:v>
      </x:c>
      <x:c r="C125" s="7" t="str">
        <x:v>推荐列表游戏点击</x:v>
      </x:c>
      <x:c r="D125" s="5" t="n">
        <x:v>529</x:v>
      </x:c>
      <x:c r="E125" s="5" t="n">
        <x:v>6</x:v>
      </x:c>
      <x:c r="F125" s="6" t="n">
        <x:v>1.1</x:v>
      </x:c>
    </x:row>
    <x:row r="126">
      <x:c r="A126" s="4" t="n">
        <x:v>46199</x:v>
      </x:c>
      <x:c r="B126" s="7" t="str">
        <x:v>60100201</x:v>
      </x:c>
      <x:c r="C126" s="7" t="str">
        <x:v>首屏banner点击</x:v>
      </x:c>
      <x:c r="D126" s="5" t="n">
        <x:v>529</x:v>
      </x:c>
      <x:c r="E126" s="5" t="n">
        <x:v>3</x:v>
      </x:c>
      <x:c r="F126" s="6" t="n">
        <x:v>0.6</x:v>
      </x:c>
    </x:row>
    <x:row r="127">
      <x:c r="A127" s="4" t="n">
        <x:v>46199</x:v>
      </x:c>
      <x:c r="B127" s="7" t="str">
        <x:v>60100301</x:v>
      </x:c>
      <x:c r="C127" s="7" t="str">
        <x:v>次屏banner点击</x:v>
      </x:c>
      <x:c r="D127" s="5" t="n">
        <x:v>529</x:v>
      </x:c>
      <x:c r="E127" s="5" t="n">
        <x:v>3</x:v>
      </x:c>
      <x:c r="F127" s="6" t="n">
        <x:v>0.6</x:v>
      </x:c>
    </x:row>
    <x:row r="128">
      <x:c r="A128" s="4" t="n">
        <x:v>46199</x:v>
      </x:c>
      <x:c r="B128" s="7" t="str">
        <x:v>60100602</x:v>
      </x:c>
      <x:c r="C128" s="7" t="str">
        <x:v>活动banner点击</x:v>
      </x:c>
      <x:c r="D128" s="5" t="n">
        <x:v>529</x:v>
      </x:c>
      <x:c r="E128" s="5" t="n">
        <x:v>0</x:v>
      </x:c>
      <x:c r="F128" s="6" t="n">
        <x:v>0</x:v>
      </x:c>
    </x:row>
    <x:row r="129">
      <x:c r="A129" s="4" t="n">
        <x:v>46199</x:v>
      </x:c>
      <x:c r="B129" s="7" t="str">
        <x:v>60100402</x:v>
      </x:c>
      <x:c r="C129" s="7" t="str">
        <x:v>首屏弹窗广告点击</x:v>
      </x:c>
      <x:c r="D129" s="5" t="n">
        <x:v>529</x:v>
      </x:c>
      <x:c r="E129" s="5" t="n">
        <x:v>2</x:v>
      </x:c>
      <x:c r="F129" s="6" t="n">
        <x:v>0.4</x:v>
      </x:c>
    </x:row>
    <x:row r="130">
      <x:c r="A130" s="4" t="n">
        <x:v>46199</x:v>
      </x:c>
      <x:c r="B130" s="7" t="str">
        <x:v>60100703</x:v>
      </x:c>
      <x:c r="C130" s="7" t="str">
        <x:v>搜索游戏点击</x:v>
      </x:c>
      <x:c r="D130" s="5" t="n">
        <x:v>529</x:v>
      </x:c>
      <x:c r="E130" s="5" t="n">
        <x:v>75</x:v>
      </x:c>
      <x:c r="F130" s="6" t="n">
        <x:v>14.2</x:v>
      </x:c>
    </x:row>
    <x:row r="131">
      <x:c r="A131" s="4" t="n">
        <x:v>46199</x:v>
      </x:c>
      <x:c r="B131" s="7" t="str">
        <x:v>60102605</x:v>
      </x:c>
      <x:c r="C131" s="7" t="str">
        <x:v>页签内点击</x:v>
      </x:c>
      <x:c r="D131" s="5" t="n">
        <x:v>529</x:v>
      </x:c>
      <x:c r="E131" s="5" t="n">
        <x:v>25</x:v>
      </x:c>
      <x:c r="F131" s="6" t="n">
        <x:v>4.7</x:v>
      </x:c>
    </x:row>
    <x:row r="132">
      <x:c r="A132" s="4" t="n">
        <x:v>46199</x:v>
      </x:c>
      <x:c r="B132" s="7" t="str">
        <x:v>60103909</x:v>
      </x:c>
      <x:c r="C132" s="7" t="str">
        <x:v>游戏模块开始玩点击</x:v>
      </x:c>
      <x:c r="D132" s="5" t="n">
        <x:v>529</x:v>
      </x:c>
      <x:c r="E132" s="5" t="n">
        <x:v>125</x:v>
      </x:c>
      <x:c r="F132" s="6" t="n">
        <x:v>23.6</x:v>
      </x:c>
    </x:row>
    <x:row r="133">
      <x:c r="A133" s="4" t="n">
        <x:v>46199</x:v>
      </x:c>
      <x:c r="B133" s="7" t="str">
        <x:v>60103948</x:v>
      </x:c>
      <x:c r="C133" s="7" t="str">
        <x:v>家乡专区游戏点击</x:v>
      </x:c>
      <x:c r="D133" s="5" t="n">
        <x:v>529</x:v>
      </x:c>
      <x:c r="E133" s="5" t="n">
        <x:v>93</x:v>
      </x:c>
      <x:c r="F133" s="6" t="n">
        <x:v>17.6</x:v>
      </x:c>
    </x:row>
    <x:row r="134">
      <x:c r="A134" s="4" t="n">
        <x:v>46200</x:v>
      </x:c>
      <x:c r="B134" s="7" t="str">
        <x:v>60101404</x:v>
      </x:c>
      <x:c r="C134" s="7" t="str">
        <x:v>用户启动游戏</x:v>
      </x:c>
      <x:c r="D134" s="5" t="n">
        <x:v>494</x:v>
      </x:c>
      <x:c r="E134" s="5" t="n">
        <x:v>331</x:v>
      </x:c>
      <x:c r="F134" s="6" t="n">
        <x:v>67</x:v>
      </x:c>
    </x:row>
    <x:row r="135">
      <x:c r="A135" s="4" t="n">
        <x:v>46200</x:v>
      </x:c>
      <x:c r="B135" s="7" t="str">
        <x:v>60100102</x:v>
      </x:c>
      <x:c r="C135" s="7" t="str">
        <x:v>本地热门游戏点击</x:v>
      </x:c>
      <x:c r="D135" s="5" t="n">
        <x:v>494</x:v>
      </x:c>
      <x:c r="E135" s="5" t="n">
        <x:v>69</x:v>
      </x:c>
      <x:c r="F135" s="6" t="n">
        <x:v>14</x:v>
      </x:c>
    </x:row>
    <x:row r="136">
      <x:c r="A136" s="4" t="n">
        <x:v>46200</x:v>
      </x:c>
      <x:c r="B136" s="7" t="str">
        <x:v>60100103</x:v>
      </x:c>
      <x:c r="C136" s="7" t="str">
        <x:v>推荐列表游戏点击</x:v>
      </x:c>
      <x:c r="D136" s="5" t="n">
        <x:v>494</x:v>
      </x:c>
      <x:c r="E136" s="5" t="n">
        <x:v>2</x:v>
      </x:c>
      <x:c r="F136" s="6" t="n">
        <x:v>0.4</x:v>
      </x:c>
    </x:row>
    <x:row r="137">
      <x:c r="A137" s="4" t="n">
        <x:v>46200</x:v>
      </x:c>
      <x:c r="B137" s="7" t="str">
        <x:v>60100201</x:v>
      </x:c>
      <x:c r="C137" s="7" t="str">
        <x:v>首屏banner点击</x:v>
      </x:c>
      <x:c r="D137" s="5" t="n">
        <x:v>494</x:v>
      </x:c>
      <x:c r="E137" s="5" t="n">
        <x:v>5</x:v>
      </x:c>
      <x:c r="F137" s="6" t="n">
        <x:v>1</x:v>
      </x:c>
    </x:row>
    <x:row r="138">
      <x:c r="A138" s="4" t="n">
        <x:v>46200</x:v>
      </x:c>
      <x:c r="B138" s="7" t="str">
        <x:v>60100301</x:v>
      </x:c>
      <x:c r="C138" s="7" t="str">
        <x:v>次屏banner点击</x:v>
      </x:c>
      <x:c r="D138" s="5" t="n">
        <x:v>494</x:v>
      </x:c>
      <x:c r="E138" s="5" t="n">
        <x:v>0</x:v>
      </x:c>
      <x:c r="F138" s="6" t="n">
        <x:v>0</x:v>
      </x:c>
    </x:row>
    <x:row r="139">
      <x:c r="A139" s="4" t="n">
        <x:v>46200</x:v>
      </x:c>
      <x:c r="B139" s="7" t="str">
        <x:v>60100602</x:v>
      </x:c>
      <x:c r="C139" s="7" t="str">
        <x:v>活动banner点击</x:v>
      </x:c>
      <x:c r="D139" s="5" t="n">
        <x:v>494</x:v>
      </x:c>
      <x:c r="E139" s="5" t="n">
        <x:v>0</x:v>
      </x:c>
      <x:c r="F139" s="6" t="n">
        <x:v>0</x:v>
      </x:c>
    </x:row>
    <x:row r="140">
      <x:c r="A140" s="4" t="n">
        <x:v>46200</x:v>
      </x:c>
      <x:c r="B140" s="7" t="str">
        <x:v>60100402</x:v>
      </x:c>
      <x:c r="C140" s="7" t="str">
        <x:v>首屏弹窗广告点击</x:v>
      </x:c>
      <x:c r="D140" s="5" t="n">
        <x:v>494</x:v>
      </x:c>
      <x:c r="E140" s="5" t="n">
        <x:v>0</x:v>
      </x:c>
      <x:c r="F140" s="6" t="n">
        <x:v>0</x:v>
      </x:c>
    </x:row>
    <x:row r="141">
      <x:c r="A141" s="4" t="n">
        <x:v>46200</x:v>
      </x:c>
      <x:c r="B141" s="7" t="str">
        <x:v>60100703</x:v>
      </x:c>
      <x:c r="C141" s="7" t="str">
        <x:v>搜索游戏点击</x:v>
      </x:c>
      <x:c r="D141" s="5" t="n">
        <x:v>494</x:v>
      </x:c>
      <x:c r="E141" s="5" t="n">
        <x:v>57</x:v>
      </x:c>
      <x:c r="F141" s="6" t="n">
        <x:v>11.5</x:v>
      </x:c>
    </x:row>
    <x:row r="142">
      <x:c r="A142" s="4" t="n">
        <x:v>46200</x:v>
      </x:c>
      <x:c r="B142" s="7" t="str">
        <x:v>60102605</x:v>
      </x:c>
      <x:c r="C142" s="7" t="str">
        <x:v>页签内点击</x:v>
      </x:c>
      <x:c r="D142" s="5" t="n">
        <x:v>494</x:v>
      </x:c>
      <x:c r="E142" s="5" t="n">
        <x:v>15</x:v>
      </x:c>
      <x:c r="F142" s="6" t="n">
        <x:v>3</x:v>
      </x:c>
    </x:row>
    <x:row r="143">
      <x:c r="A143" s="4" t="n">
        <x:v>46200</x:v>
      </x:c>
      <x:c r="B143" s="7" t="str">
        <x:v>60103909</x:v>
      </x:c>
      <x:c r="C143" s="7" t="str">
        <x:v>游戏模块开始玩点击</x:v>
      </x:c>
      <x:c r="D143" s="5" t="n">
        <x:v>494</x:v>
      </x:c>
      <x:c r="E143" s="5" t="n">
        <x:v>101</x:v>
      </x:c>
      <x:c r="F143" s="6" t="n">
        <x:v>20.4</x:v>
      </x:c>
    </x:row>
    <x:row r="144">
      <x:c r="A144" s="4" t="n">
        <x:v>46200</x:v>
      </x:c>
      <x:c r="B144" s="7" t="str">
        <x:v>60103948</x:v>
      </x:c>
      <x:c r="C144" s="7" t="str">
        <x:v>家乡专区游戏点击</x:v>
      </x:c>
      <x:c r="D144" s="5" t="n">
        <x:v>494</x:v>
      </x:c>
      <x:c r="E144" s="5" t="n">
        <x:v>67</x:v>
      </x:c>
      <x:c r="F144" s="6" t="n">
        <x:v>13.6</x:v>
      </x:c>
    </x:row>
    <x:row r="145">
      <x:c r="A145" s="4" t="n">
        <x:v>46201</x:v>
      </x:c>
      <x:c r="B145" s="7" t="str">
        <x:v>60101404</x:v>
      </x:c>
      <x:c r="C145" s="7" t="str">
        <x:v>用户启动游戏</x:v>
      </x:c>
      <x:c r="D145" s="5" t="n">
        <x:v>556</x:v>
      </x:c>
      <x:c r="E145" s="5" t="n">
        <x:v>394</x:v>
      </x:c>
      <x:c r="F145" s="6" t="n">
        <x:v>70.9</x:v>
      </x:c>
    </x:row>
    <x:row r="146">
      <x:c r="A146" s="4" t="n">
        <x:v>46201</x:v>
      </x:c>
      <x:c r="B146" s="7" t="str">
        <x:v>60100102</x:v>
      </x:c>
      <x:c r="C146" s="7" t="str">
        <x:v>本地热门游戏点击</x:v>
      </x:c>
      <x:c r="D146" s="5" t="n">
        <x:v>556</x:v>
      </x:c>
      <x:c r="E146" s="5" t="n">
        <x:v>69</x:v>
      </x:c>
      <x:c r="F146" s="6" t="n">
        <x:v>12.4</x:v>
      </x:c>
    </x:row>
    <x:row r="147">
      <x:c r="A147" s="4" t="n">
        <x:v>46201</x:v>
      </x:c>
      <x:c r="B147" s="7" t="str">
        <x:v>60100103</x:v>
      </x:c>
      <x:c r="C147" s="7" t="str">
        <x:v>推荐列表游戏点击</x:v>
      </x:c>
      <x:c r="D147" s="5" t="n">
        <x:v>556</x:v>
      </x:c>
      <x:c r="E147" s="5" t="n">
        <x:v>5</x:v>
      </x:c>
      <x:c r="F147" s="6" t="n">
        <x:v>0.9</x:v>
      </x:c>
    </x:row>
    <x:row r="148">
      <x:c r="A148" s="4" t="n">
        <x:v>46201</x:v>
      </x:c>
      <x:c r="B148" s="7" t="str">
        <x:v>60100201</x:v>
      </x:c>
      <x:c r="C148" s="7" t="str">
        <x:v>首屏banner点击</x:v>
      </x:c>
      <x:c r="D148" s="5" t="n">
        <x:v>556</x:v>
      </x:c>
      <x:c r="E148" s="5" t="n">
        <x:v>4</x:v>
      </x:c>
      <x:c r="F148" s="6" t="n">
        <x:v>0.7</x:v>
      </x:c>
    </x:row>
    <x:row r="149">
      <x:c r="A149" s="4" t="n">
        <x:v>46201</x:v>
      </x:c>
      <x:c r="B149" s="7" t="str">
        <x:v>60100301</x:v>
      </x:c>
      <x:c r="C149" s="7" t="str">
        <x:v>次屏banner点击</x:v>
      </x:c>
      <x:c r="D149" s="5" t="n">
        <x:v>556</x:v>
      </x:c>
      <x:c r="E149" s="5" t="n">
        <x:v>4</x:v>
      </x:c>
      <x:c r="F149" s="6" t="n">
        <x:v>0.7</x:v>
      </x:c>
    </x:row>
    <x:row r="150">
      <x:c r="A150" s="4" t="n">
        <x:v>46201</x:v>
      </x:c>
      <x:c r="B150" s="7" t="str">
        <x:v>60100602</x:v>
      </x:c>
      <x:c r="C150" s="7" t="str">
        <x:v>活动banner点击</x:v>
      </x:c>
      <x:c r="D150" s="5" t="n">
        <x:v>556</x:v>
      </x:c>
      <x:c r="E150" s="5" t="n">
        <x:v>0</x:v>
      </x:c>
      <x:c r="F150" s="6" t="n">
        <x:v>0</x:v>
      </x:c>
    </x:row>
    <x:row r="151">
      <x:c r="A151" s="4" t="n">
        <x:v>46201</x:v>
      </x:c>
      <x:c r="B151" s="7" t="str">
        <x:v>60100402</x:v>
      </x:c>
      <x:c r="C151" s="7" t="str">
        <x:v>首屏弹窗广告点击</x:v>
      </x:c>
      <x:c r="D151" s="5" t="n">
        <x:v>556</x:v>
      </x:c>
      <x:c r="E151" s="5" t="n">
        <x:v>0</x:v>
      </x:c>
      <x:c r="F151" s="6" t="n">
        <x:v>0</x:v>
      </x:c>
    </x:row>
    <x:row r="152">
      <x:c r="A152" s="4" t="n">
        <x:v>46201</x:v>
      </x:c>
      <x:c r="B152" s="7" t="str">
        <x:v>60100703</x:v>
      </x:c>
      <x:c r="C152" s="7" t="str">
        <x:v>搜索游戏点击</x:v>
      </x:c>
      <x:c r="D152" s="5" t="n">
        <x:v>556</x:v>
      </x:c>
      <x:c r="E152" s="5" t="n">
        <x:v>74</x:v>
      </x:c>
      <x:c r="F152" s="6" t="n">
        <x:v>13.3</x:v>
      </x:c>
    </x:row>
    <x:row r="153">
      <x:c r="A153" s="4" t="n">
        <x:v>46201</x:v>
      </x:c>
      <x:c r="B153" s="7" t="str">
        <x:v>60102605</x:v>
      </x:c>
      <x:c r="C153" s="7" t="str">
        <x:v>页签内点击</x:v>
      </x:c>
      <x:c r="D153" s="5" t="n">
        <x:v>556</x:v>
      </x:c>
      <x:c r="E153" s="5" t="n">
        <x:v>18</x:v>
      </x:c>
      <x:c r="F153" s="6" t="n">
        <x:v>3.2</x:v>
      </x:c>
    </x:row>
    <x:row r="154">
      <x:c r="A154" s="4" t="n">
        <x:v>46201</x:v>
      </x:c>
      <x:c r="B154" s="7" t="str">
        <x:v>60103909</x:v>
      </x:c>
      <x:c r="C154" s="7" t="str">
        <x:v>游戏模块开始玩点击</x:v>
      </x:c>
      <x:c r="D154" s="5" t="n">
        <x:v>556</x:v>
      </x:c>
      <x:c r="E154" s="5" t="n">
        <x:v>117</x:v>
      </x:c>
      <x:c r="F154" s="6" t="n">
        <x:v>21</x:v>
      </x:c>
    </x:row>
    <x:row r="155">
      <x:c r="A155" s="4" t="n">
        <x:v>46201</x:v>
      </x:c>
      <x:c r="B155" s="7" t="str">
        <x:v>60103948</x:v>
      </x:c>
      <x:c r="C155" s="7" t="str">
        <x:v>家乡专区游戏点击</x:v>
      </x:c>
      <x:c r="D155" s="5" t="n">
        <x:v>556</x:v>
      </x:c>
      <x:c r="E155" s="5" t="n">
        <x:v>95</x:v>
      </x:c>
      <x:c r="F155" s="6" t="n">
        <x:v>17.1</x:v>
      </x:c>
    </x:row>
    <x:row r="156">
      <x:c r="A156" s="4" t="n">
        <x:v>46202</x:v>
      </x:c>
      <x:c r="B156" s="7" t="str">
        <x:v>60101404</x:v>
      </x:c>
      <x:c r="C156" s="7" t="str">
        <x:v>用户启动游戏</x:v>
      </x:c>
      <x:c r="D156" s="5" t="n">
        <x:v>552</x:v>
      </x:c>
      <x:c r="E156" s="5" t="n">
        <x:v>388</x:v>
      </x:c>
      <x:c r="F156" s="6" t="n">
        <x:v>70.3</x:v>
      </x:c>
    </x:row>
    <x:row r="157">
      <x:c r="A157" s="4" t="n">
        <x:v>46202</x:v>
      </x:c>
      <x:c r="B157" s="7" t="str">
        <x:v>60100102</x:v>
      </x:c>
      <x:c r="C157" s="7" t="str">
        <x:v>本地热门游戏点击</x:v>
      </x:c>
      <x:c r="D157" s="5" t="n">
        <x:v>552</x:v>
      </x:c>
      <x:c r="E157" s="5" t="n">
        <x:v>68</x:v>
      </x:c>
      <x:c r="F157" s="6" t="n">
        <x:v>12.3</x:v>
      </x:c>
    </x:row>
    <x:row r="158">
      <x:c r="A158" s="4" t="n">
        <x:v>46202</x:v>
      </x:c>
      <x:c r="B158" s="7" t="str">
        <x:v>60100103</x:v>
      </x:c>
      <x:c r="C158" s="7" t="str">
        <x:v>推荐列表游戏点击</x:v>
      </x:c>
      <x:c r="D158" s="5" t="n">
        <x:v>552</x:v>
      </x:c>
      <x:c r="E158" s="5" t="n">
        <x:v>8</x:v>
      </x:c>
      <x:c r="F158" s="6" t="n">
        <x:v>1.4</x:v>
      </x:c>
    </x:row>
    <x:row r="159">
      <x:c r="A159" s="4" t="n">
        <x:v>46202</x:v>
      </x:c>
      <x:c r="B159" s="7" t="str">
        <x:v>60100201</x:v>
      </x:c>
      <x:c r="C159" s="7" t="str">
        <x:v>首屏banner点击</x:v>
      </x:c>
      <x:c r="D159" s="5" t="n">
        <x:v>552</x:v>
      </x:c>
      <x:c r="E159" s="5" t="n">
        <x:v>4</x:v>
      </x:c>
      <x:c r="F159" s="6" t="n">
        <x:v>0.7</x:v>
      </x:c>
    </x:row>
    <x:row r="160">
      <x:c r="A160" s="4" t="n">
        <x:v>46202</x:v>
      </x:c>
      <x:c r="B160" s="7" t="str">
        <x:v>60100301</x:v>
      </x:c>
      <x:c r="C160" s="7" t="str">
        <x:v>次屏banner点击</x:v>
      </x:c>
      <x:c r="D160" s="5" t="n">
        <x:v>552</x:v>
      </x:c>
      <x:c r="E160" s="5" t="n">
        <x:v>0</x:v>
      </x:c>
      <x:c r="F160" s="6" t="n">
        <x:v>0</x:v>
      </x:c>
    </x:row>
    <x:row r="161">
      <x:c r="A161" s="4" t="n">
        <x:v>46202</x:v>
      </x:c>
      <x:c r="B161" s="7" t="str">
        <x:v>60100602</x:v>
      </x:c>
      <x:c r="C161" s="7" t="str">
        <x:v>活动banner点击</x:v>
      </x:c>
      <x:c r="D161" s="5" t="n">
        <x:v>552</x:v>
      </x:c>
      <x:c r="E161" s="5" t="n">
        <x:v>0</x:v>
      </x:c>
      <x:c r="F161" s="6" t="n">
        <x:v>0</x:v>
      </x:c>
    </x:row>
    <x:row r="162">
      <x:c r="A162" s="4" t="n">
        <x:v>46202</x:v>
      </x:c>
      <x:c r="B162" s="7" t="str">
        <x:v>60100402</x:v>
      </x:c>
      <x:c r="C162" s="7" t="str">
        <x:v>首屏弹窗广告点击</x:v>
      </x:c>
      <x:c r="D162" s="5" t="n">
        <x:v>552</x:v>
      </x:c>
      <x:c r="E162" s="5" t="n">
        <x:v>1</x:v>
      </x:c>
      <x:c r="F162" s="6" t="n">
        <x:v>0.2</x:v>
      </x:c>
    </x:row>
    <x:row r="163">
      <x:c r="A163" s="4" t="n">
        <x:v>46202</x:v>
      </x:c>
      <x:c r="B163" s="7" t="str">
        <x:v>60100703</x:v>
      </x:c>
      <x:c r="C163" s="7" t="str">
        <x:v>搜索游戏点击</x:v>
      </x:c>
      <x:c r="D163" s="5" t="n">
        <x:v>552</x:v>
      </x:c>
      <x:c r="E163" s="5" t="n">
        <x:v>61</x:v>
      </x:c>
      <x:c r="F163" s="6" t="n">
        <x:v>11.1</x:v>
      </x:c>
    </x:row>
    <x:row r="164">
      <x:c r="A164" s="4" t="n">
        <x:v>46202</x:v>
      </x:c>
      <x:c r="B164" s="7" t="str">
        <x:v>60102605</x:v>
      </x:c>
      <x:c r="C164" s="7" t="str">
        <x:v>页签内点击</x:v>
      </x:c>
      <x:c r="D164" s="5" t="n">
        <x:v>552</x:v>
      </x:c>
      <x:c r="E164" s="5" t="n">
        <x:v>21</x:v>
      </x:c>
      <x:c r="F164" s="6" t="n">
        <x:v>3.8</x:v>
      </x:c>
    </x:row>
    <x:row r="165">
      <x:c r="A165" s="4" t="n">
        <x:v>46202</x:v>
      </x:c>
      <x:c r="B165" s="7" t="str">
        <x:v>60103909</x:v>
      </x:c>
      <x:c r="C165" s="7" t="str">
        <x:v>游戏模块开始玩点击</x:v>
      </x:c>
      <x:c r="D165" s="5" t="n">
        <x:v>552</x:v>
      </x:c>
      <x:c r="E165" s="5" t="n">
        <x:v>99</x:v>
      </x:c>
      <x:c r="F165" s="6" t="n">
        <x:v>17.9</x:v>
      </x:c>
    </x:row>
    <x:row r="166">
      <x:c r="A166" s="4" t="n">
        <x:v>46202</x:v>
      </x:c>
      <x:c r="B166" s="7" t="str">
        <x:v>60103948</x:v>
      </x:c>
      <x:c r="C166" s="7" t="str">
        <x:v>家乡专区游戏点击</x:v>
      </x:c>
      <x:c r="D166" s="5" t="n">
        <x:v>552</x:v>
      </x:c>
      <x:c r="E166" s="5" t="n">
        <x:v>113</x:v>
      </x:c>
      <x:c r="F166" s="6" t="n">
        <x:v>20.5</x:v>
      </x:c>
    </x:row>
    <x:row r="167">
      <x:c r="A167" s="4" t="n">
        <x:v>46203</x:v>
      </x:c>
      <x:c r="B167" s="7" t="str">
        <x:v>60101404</x:v>
      </x:c>
      <x:c r="C167" s="7" t="str">
        <x:v>用户启动游戏</x:v>
      </x:c>
      <x:c r="D167" s="5" t="n">
        <x:v>537</x:v>
      </x:c>
      <x:c r="E167" s="5" t="n">
        <x:v>368</x:v>
      </x:c>
      <x:c r="F167" s="6" t="n">
        <x:v>68.5</x:v>
      </x:c>
    </x:row>
    <x:row r="168">
      <x:c r="A168" s="4" t="n">
        <x:v>46203</x:v>
      </x:c>
      <x:c r="B168" s="7" t="str">
        <x:v>60100102</x:v>
      </x:c>
      <x:c r="C168" s="7" t="str">
        <x:v>本地热门游戏点击</x:v>
      </x:c>
      <x:c r="D168" s="5" t="n">
        <x:v>537</x:v>
      </x:c>
      <x:c r="E168" s="5" t="n">
        <x:v>81</x:v>
      </x:c>
      <x:c r="F168" s="6" t="n">
        <x:v>15.1</x:v>
      </x:c>
    </x:row>
    <x:row r="169">
      <x:c r="A169" s="4" t="n">
        <x:v>46203</x:v>
      </x:c>
      <x:c r="B169" s="7" t="str">
        <x:v>60100103</x:v>
      </x:c>
      <x:c r="C169" s="7" t="str">
        <x:v>推荐列表游戏点击</x:v>
      </x:c>
      <x:c r="D169" s="5" t="n">
        <x:v>537</x:v>
      </x:c>
      <x:c r="E169" s="5" t="n">
        <x:v>3</x:v>
      </x:c>
      <x:c r="F169" s="6" t="n">
        <x:v>0.6</x:v>
      </x:c>
    </x:row>
    <x:row r="170">
      <x:c r="A170" s="4" t="n">
        <x:v>46203</x:v>
      </x:c>
      <x:c r="B170" s="7" t="str">
        <x:v>60100201</x:v>
      </x:c>
      <x:c r="C170" s="7" t="str">
        <x:v>首屏banner点击</x:v>
      </x:c>
      <x:c r="D170" s="5" t="n">
        <x:v>537</x:v>
      </x:c>
      <x:c r="E170" s="5" t="n">
        <x:v>0</x:v>
      </x:c>
      <x:c r="F170" s="6" t="n">
        <x:v>0</x:v>
      </x:c>
    </x:row>
    <x:row r="171">
      <x:c r="A171" s="4" t="n">
        <x:v>46203</x:v>
      </x:c>
      <x:c r="B171" s="7" t="str">
        <x:v>60100301</x:v>
      </x:c>
      <x:c r="C171" s="7" t="str">
        <x:v>次屏banner点击</x:v>
      </x:c>
      <x:c r="D171" s="5" t="n">
        <x:v>537</x:v>
      </x:c>
      <x:c r="E171" s="5" t="n">
        <x:v>3</x:v>
      </x:c>
      <x:c r="F171" s="6" t="n">
        <x:v>0.6</x:v>
      </x:c>
    </x:row>
    <x:row r="172">
      <x:c r="A172" s="4" t="n">
        <x:v>46203</x:v>
      </x:c>
      <x:c r="B172" s="7" t="str">
        <x:v>60100602</x:v>
      </x:c>
      <x:c r="C172" s="7" t="str">
        <x:v>活动banner点击</x:v>
      </x:c>
      <x:c r="D172" s="5" t="n">
        <x:v>537</x:v>
      </x:c>
      <x:c r="E172" s="5" t="n">
        <x:v>0</x:v>
      </x:c>
      <x:c r="F172" s="6" t="n">
        <x:v>0</x:v>
      </x:c>
    </x:row>
    <x:row r="173">
      <x:c r="A173" s="4" t="n">
        <x:v>46203</x:v>
      </x:c>
      <x:c r="B173" s="7" t="str">
        <x:v>60100402</x:v>
      </x:c>
      <x:c r="C173" s="7" t="str">
        <x:v>首屏弹窗广告点击</x:v>
      </x:c>
      <x:c r="D173" s="5" t="n">
        <x:v>537</x:v>
      </x:c>
      <x:c r="E173" s="5" t="n">
        <x:v>0</x:v>
      </x:c>
      <x:c r="F173" s="6" t="n">
        <x:v>0</x:v>
      </x:c>
    </x:row>
    <x:row r="174">
      <x:c r="A174" s="4" t="n">
        <x:v>46203</x:v>
      </x:c>
      <x:c r="B174" s="7" t="str">
        <x:v>60100703</x:v>
      </x:c>
      <x:c r="C174" s="7" t="str">
        <x:v>搜索游戏点击</x:v>
      </x:c>
      <x:c r="D174" s="5" t="n">
        <x:v>537</x:v>
      </x:c>
      <x:c r="E174" s="5" t="n">
        <x:v>66</x:v>
      </x:c>
      <x:c r="F174" s="6" t="n">
        <x:v>12.3</x:v>
      </x:c>
    </x:row>
    <x:row r="175">
      <x:c r="A175" s="4" t="n">
        <x:v>46203</x:v>
      </x:c>
      <x:c r="B175" s="7" t="str">
        <x:v>60102605</x:v>
      </x:c>
      <x:c r="C175" s="7" t="str">
        <x:v>页签内点击</x:v>
      </x:c>
      <x:c r="D175" s="5" t="n">
        <x:v>537</x:v>
      </x:c>
      <x:c r="E175" s="5" t="n">
        <x:v>28</x:v>
      </x:c>
      <x:c r="F175" s="6" t="n">
        <x:v>5.2</x:v>
      </x:c>
    </x:row>
    <x:row r="176">
      <x:c r="A176" s="4" t="n">
        <x:v>46203</x:v>
      </x:c>
      <x:c r="B176" s="7" t="str">
        <x:v>60103909</x:v>
      </x:c>
      <x:c r="C176" s="7" t="str">
        <x:v>游戏模块开始玩点击</x:v>
      </x:c>
      <x:c r="D176" s="5" t="n">
        <x:v>537</x:v>
      </x:c>
      <x:c r="E176" s="5" t="n">
        <x:v>131</x:v>
      </x:c>
      <x:c r="F176" s="6" t="n">
        <x:v>24.4</x:v>
      </x:c>
    </x:row>
    <x:row r="177">
      <x:c r="A177" s="4" t="n">
        <x:v>46203</x:v>
      </x:c>
      <x:c r="B177" s="7" t="str">
        <x:v>60103948</x:v>
      </x:c>
      <x:c r="C177" s="7" t="str">
        <x:v>家乡专区游戏点击</x:v>
      </x:c>
      <x:c r="D177" s="5" t="n">
        <x:v>537</x:v>
      </x:c>
      <x:c r="E177" s="5" t="n">
        <x:v>98</x:v>
      </x:c>
      <x:c r="F177" s="6" t="n">
        <x:v>18.2</x:v>
      </x:c>
    </x:row>
    <x:row r="178">
      <x:c r="A178" s="4" t="n">
        <x:v>46204</x:v>
      </x:c>
      <x:c r="B178" s="7" t="str">
        <x:v>60101404</x:v>
      </x:c>
      <x:c r="C178" s="7" t="str">
        <x:v>用户启动游戏</x:v>
      </x:c>
      <x:c r="D178" s="5" t="n">
        <x:v>529</x:v>
      </x:c>
      <x:c r="E178" s="5" t="n">
        <x:v>354</x:v>
      </x:c>
      <x:c r="F178" s="6" t="n">
        <x:v>66.9</x:v>
      </x:c>
    </x:row>
    <x:row r="179">
      <x:c r="A179" s="4" t="n">
        <x:v>46204</x:v>
      </x:c>
      <x:c r="B179" s="7" t="str">
        <x:v>60100102</x:v>
      </x:c>
      <x:c r="C179" s="7" t="str">
        <x:v>本地热门游戏点击</x:v>
      </x:c>
      <x:c r="D179" s="5" t="n">
        <x:v>529</x:v>
      </x:c>
      <x:c r="E179" s="5" t="n">
        <x:v>71</x:v>
      </x:c>
      <x:c r="F179" s="6" t="n">
        <x:v>13.4</x:v>
      </x:c>
    </x:row>
    <x:row r="180">
      <x:c r="A180" s="4" t="n">
        <x:v>46204</x:v>
      </x:c>
      <x:c r="B180" s="7" t="str">
        <x:v>60100103</x:v>
      </x:c>
      <x:c r="C180" s="7" t="str">
        <x:v>推荐列表游戏点击</x:v>
      </x:c>
      <x:c r="D180" s="5" t="n">
        <x:v>529</x:v>
      </x:c>
      <x:c r="E180" s="5" t="n">
        <x:v>5</x:v>
      </x:c>
      <x:c r="F180" s="6" t="n">
        <x:v>0.9</x:v>
      </x:c>
    </x:row>
    <x:row r="181">
      <x:c r="A181" s="4" t="n">
        <x:v>46204</x:v>
      </x:c>
      <x:c r="B181" s="7" t="str">
        <x:v>60100201</x:v>
      </x:c>
      <x:c r="C181" s="7" t="str">
        <x:v>首屏banner点击</x:v>
      </x:c>
      <x:c r="D181" s="5" t="n">
        <x:v>529</x:v>
      </x:c>
      <x:c r="E181" s="5" t="n">
        <x:v>1</x:v>
      </x:c>
      <x:c r="F181" s="6" t="n">
        <x:v>0.2</x:v>
      </x:c>
    </x:row>
    <x:row r="182">
      <x:c r="A182" s="4" t="n">
        <x:v>46204</x:v>
      </x:c>
      <x:c r="B182" s="7" t="str">
        <x:v>60100301</x:v>
      </x:c>
      <x:c r="C182" s="7" t="str">
        <x:v>次屏banner点击</x:v>
      </x:c>
      <x:c r="D182" s="5" t="n">
        <x:v>529</x:v>
      </x:c>
      <x:c r="E182" s="5" t="n">
        <x:v>2</x:v>
      </x:c>
      <x:c r="F182" s="6" t="n">
        <x:v>0.4</x:v>
      </x:c>
    </x:row>
    <x:row r="183">
      <x:c r="A183" s="4" t="n">
        <x:v>46204</x:v>
      </x:c>
      <x:c r="B183" s="7" t="str">
        <x:v>60100602</x:v>
      </x:c>
      <x:c r="C183" s="7" t="str">
        <x:v>活动banner点击</x:v>
      </x:c>
      <x:c r="D183" s="5" t="n">
        <x:v>529</x:v>
      </x:c>
      <x:c r="E183" s="5" t="n">
        <x:v>0</x:v>
      </x:c>
      <x:c r="F183" s="6" t="n">
        <x:v>0</x:v>
      </x:c>
    </x:row>
    <x:row r="184">
      <x:c r="A184" s="4" t="n">
        <x:v>46204</x:v>
      </x:c>
      <x:c r="B184" s="7" t="str">
        <x:v>60100402</x:v>
      </x:c>
      <x:c r="C184" s="7" t="str">
        <x:v>首屏弹窗广告点击</x:v>
      </x:c>
      <x:c r="D184" s="5" t="n">
        <x:v>529</x:v>
      </x:c>
      <x:c r="E184" s="5" t="n">
        <x:v>1</x:v>
      </x:c>
      <x:c r="F184" s="6" t="n">
        <x:v>0.2</x:v>
      </x:c>
    </x:row>
    <x:row r="185">
      <x:c r="A185" s="4" t="n">
        <x:v>46204</x:v>
      </x:c>
      <x:c r="B185" s="7" t="str">
        <x:v>60100703</x:v>
      </x:c>
      <x:c r="C185" s="7" t="str">
        <x:v>搜索游戏点击</x:v>
      </x:c>
      <x:c r="D185" s="5" t="n">
        <x:v>529</x:v>
      </x:c>
      <x:c r="E185" s="5" t="n">
        <x:v>61</x:v>
      </x:c>
      <x:c r="F185" s="6" t="n">
        <x:v>11.5</x:v>
      </x:c>
    </x:row>
    <x:row r="186">
      <x:c r="A186" s="4" t="n">
        <x:v>46204</x:v>
      </x:c>
      <x:c r="B186" s="7" t="str">
        <x:v>60102605</x:v>
      </x:c>
      <x:c r="C186" s="7" t="str">
        <x:v>页签内点击</x:v>
      </x:c>
      <x:c r="D186" s="5" t="n">
        <x:v>529</x:v>
      </x:c>
      <x:c r="E186" s="5" t="n">
        <x:v>16</x:v>
      </x:c>
      <x:c r="F186" s="6" t="n">
        <x:v>3</x:v>
      </x:c>
    </x:row>
    <x:row r="187">
      <x:c r="A187" s="4" t="n">
        <x:v>46204</x:v>
      </x:c>
      <x:c r="B187" s="7" t="str">
        <x:v>60103909</x:v>
      </x:c>
      <x:c r="C187" s="7" t="str">
        <x:v>游戏模块开始玩点击</x:v>
      </x:c>
      <x:c r="D187" s="5" t="n">
        <x:v>529</x:v>
      </x:c>
      <x:c r="E187" s="5" t="n">
        <x:v>127</x:v>
      </x:c>
      <x:c r="F187" s="6" t="n">
        <x:v>24</x:v>
      </x:c>
    </x:row>
    <x:row r="188">
      <x:c r="A188" s="4" t="n">
        <x:v>46204</x:v>
      </x:c>
      <x:c r="B188" s="7" t="str">
        <x:v>60103948</x:v>
      </x:c>
      <x:c r="C188" s="7" t="str">
        <x:v>家乡专区游戏点击</x:v>
      </x:c>
      <x:c r="D188" s="5" t="n">
        <x:v>529</x:v>
      </x:c>
      <x:c r="E188" s="5" t="n">
        <x:v>84</x:v>
      </x:c>
      <x:c r="F188" s="6" t="n">
        <x:v>15.9</x:v>
      </x:c>
    </x:row>
    <x:row r="189">
      <x:c r="A189" s="4" t="n">
        <x:v>46205</x:v>
      </x:c>
      <x:c r="B189" s="7" t="str">
        <x:v>60101404</x:v>
      </x:c>
      <x:c r="C189" s="7" t="str">
        <x:v>用户启动游戏</x:v>
      </x:c>
      <x:c r="D189" s="5" t="n">
        <x:v>542</x:v>
      </x:c>
      <x:c r="E189" s="5" t="n">
        <x:v>377</x:v>
      </x:c>
      <x:c r="F189" s="6" t="n">
        <x:v>69.6</x:v>
      </x:c>
    </x:row>
    <x:row r="190">
      <x:c r="A190" s="4" t="n">
        <x:v>46205</x:v>
      </x:c>
      <x:c r="B190" s="7" t="str">
        <x:v>60100102</x:v>
      </x:c>
      <x:c r="C190" s="7" t="str">
        <x:v>本地热门游戏点击</x:v>
      </x:c>
      <x:c r="D190" s="5" t="n">
        <x:v>542</x:v>
      </x:c>
      <x:c r="E190" s="5" t="n">
        <x:v>67</x:v>
      </x:c>
      <x:c r="F190" s="6" t="n">
        <x:v>12.4</x:v>
      </x:c>
    </x:row>
    <x:row r="191">
      <x:c r="A191" s="4" t="n">
        <x:v>46205</x:v>
      </x:c>
      <x:c r="B191" s="7" t="str">
        <x:v>60100103</x:v>
      </x:c>
      <x:c r="C191" s="7" t="str">
        <x:v>推荐列表游戏点击</x:v>
      </x:c>
      <x:c r="D191" s="5" t="n">
        <x:v>542</x:v>
      </x:c>
      <x:c r="E191" s="5" t="n">
        <x:v>3</x:v>
      </x:c>
      <x:c r="F191" s="6" t="n">
        <x:v>0.6</x:v>
      </x:c>
    </x:row>
    <x:row r="192">
      <x:c r="A192" s="4" t="n">
        <x:v>46205</x:v>
      </x:c>
      <x:c r="B192" s="7" t="str">
        <x:v>60100201</x:v>
      </x:c>
      <x:c r="C192" s="7" t="str">
        <x:v>首屏banner点击</x:v>
      </x:c>
      <x:c r="D192" s="5" t="n">
        <x:v>542</x:v>
      </x:c>
      <x:c r="E192" s="5" t="n">
        <x:v>5</x:v>
      </x:c>
      <x:c r="F192" s="6" t="n">
        <x:v>0.9</x:v>
      </x:c>
    </x:row>
    <x:row r="193">
      <x:c r="A193" s="4" t="n">
        <x:v>46205</x:v>
      </x:c>
      <x:c r="B193" s="7" t="str">
        <x:v>60100301</x:v>
      </x:c>
      <x:c r="C193" s="7" t="str">
        <x:v>次屏banner点击</x:v>
      </x:c>
      <x:c r="D193" s="5" t="n">
        <x:v>542</x:v>
      </x:c>
      <x:c r="E193" s="5" t="n">
        <x:v>1</x:v>
      </x:c>
      <x:c r="F193" s="6" t="n">
        <x:v>0.2</x:v>
      </x:c>
    </x:row>
    <x:row r="194">
      <x:c r="A194" s="4" t="n">
        <x:v>46205</x:v>
      </x:c>
      <x:c r="B194" s="7" t="str">
        <x:v>60100602</x:v>
      </x:c>
      <x:c r="C194" s="7" t="str">
        <x:v>活动banner点击</x:v>
      </x:c>
      <x:c r="D194" s="5" t="n">
        <x:v>542</x:v>
      </x:c>
      <x:c r="E194" s="5" t="n">
        <x:v>0</x:v>
      </x:c>
      <x:c r="F194" s="6" t="n">
        <x:v>0</x:v>
      </x:c>
    </x:row>
    <x:row r="195">
      <x:c r="A195" s="4" t="n">
        <x:v>46205</x:v>
      </x:c>
      <x:c r="B195" s="7" t="str">
        <x:v>60100402</x:v>
      </x:c>
      <x:c r="C195" s="7" t="str">
        <x:v>首屏弹窗广告点击</x:v>
      </x:c>
      <x:c r="D195" s="5" t="n">
        <x:v>542</x:v>
      </x:c>
      <x:c r="E195" s="5" t="n">
        <x:v>1</x:v>
      </x:c>
      <x:c r="F195" s="6" t="n">
        <x:v>0.2</x:v>
      </x:c>
    </x:row>
    <x:row r="196">
      <x:c r="A196" s="4" t="n">
        <x:v>46205</x:v>
      </x:c>
      <x:c r="B196" s="7" t="str">
        <x:v>60100703</x:v>
      </x:c>
      <x:c r="C196" s="7" t="str">
        <x:v>搜索游戏点击</x:v>
      </x:c>
      <x:c r="D196" s="5" t="n">
        <x:v>542</x:v>
      </x:c>
      <x:c r="E196" s="5" t="n">
        <x:v>68</x:v>
      </x:c>
      <x:c r="F196" s="6" t="n">
        <x:v>12.5</x:v>
      </x:c>
    </x:row>
    <x:row r="197">
      <x:c r="A197" s="4" t="n">
        <x:v>46205</x:v>
      </x:c>
      <x:c r="B197" s="7" t="str">
        <x:v>60102605</x:v>
      </x:c>
      <x:c r="C197" s="7" t="str">
        <x:v>页签内点击</x:v>
      </x:c>
      <x:c r="D197" s="5" t="n">
        <x:v>542</x:v>
      </x:c>
      <x:c r="E197" s="5" t="n">
        <x:v>21</x:v>
      </x:c>
      <x:c r="F197" s="6" t="n">
        <x:v>3.9</x:v>
      </x:c>
    </x:row>
    <x:row r="198">
      <x:c r="A198" s="4" t="n">
        <x:v>46205</x:v>
      </x:c>
      <x:c r="B198" s="7" t="str">
        <x:v>60103909</x:v>
      </x:c>
      <x:c r="C198" s="7" t="str">
        <x:v>游戏模块开始玩点击</x:v>
      </x:c>
      <x:c r="D198" s="5" t="n">
        <x:v>542</x:v>
      </x:c>
      <x:c r="E198" s="5" t="n">
        <x:v>111</x:v>
      </x:c>
      <x:c r="F198" s="6" t="n">
        <x:v>20.5</x:v>
      </x:c>
    </x:row>
    <x:row r="199">
      <x:c r="A199" s="4" t="n">
        <x:v>46205</x:v>
      </x:c>
      <x:c r="B199" s="7" t="str">
        <x:v>60103948</x:v>
      </x:c>
      <x:c r="C199" s="7" t="str">
        <x:v>家乡专区游戏点击</x:v>
      </x:c>
      <x:c r="D199" s="5" t="n">
        <x:v>542</x:v>
      </x:c>
      <x:c r="E199" s="5" t="n">
        <x:v>99</x:v>
      </x:c>
      <x:c r="F199" s="6" t="n">
        <x:v>18.3</x:v>
      </x:c>
    </x:row>
    <x:row r="200">
      <x:c r="A200" s="4" t="n">
        <x:v>46206</x:v>
      </x:c>
      <x:c r="B200" s="7" t="str">
        <x:v>60101404</x:v>
      </x:c>
      <x:c r="C200" s="7" t="str">
        <x:v>用户启动游戏</x:v>
      </x:c>
      <x:c r="D200" s="5" t="n">
        <x:v>569</x:v>
      </x:c>
      <x:c r="E200" s="5" t="n">
        <x:v>417</x:v>
      </x:c>
      <x:c r="F200" s="6" t="n">
        <x:v>73.3</x:v>
      </x:c>
    </x:row>
    <x:row r="201">
      <x:c r="A201" s="4" t="n">
        <x:v>46206</x:v>
      </x:c>
      <x:c r="B201" s="7" t="str">
        <x:v>60100102</x:v>
      </x:c>
      <x:c r="C201" s="7" t="str">
        <x:v>本地热门游戏点击</x:v>
      </x:c>
      <x:c r="D201" s="5" t="n">
        <x:v>569</x:v>
      </x:c>
      <x:c r="E201" s="5" t="n">
        <x:v>97</x:v>
      </x:c>
      <x:c r="F201" s="6" t="n">
        <x:v>17</x:v>
      </x:c>
    </x:row>
    <x:row r="202">
      <x:c r="A202" s="4" t="n">
        <x:v>46206</x:v>
      </x:c>
      <x:c r="B202" s="7" t="str">
        <x:v>60100103</x:v>
      </x:c>
      <x:c r="C202" s="7" t="str">
        <x:v>推荐列表游戏点击</x:v>
      </x:c>
      <x:c r="D202" s="5" t="n">
        <x:v>569</x:v>
      </x:c>
      <x:c r="E202" s="5" t="n">
        <x:v>3</x:v>
      </x:c>
      <x:c r="F202" s="6" t="n">
        <x:v>0.5</x:v>
      </x:c>
    </x:row>
    <x:row r="203">
      <x:c r="A203" s="4" t="n">
        <x:v>46206</x:v>
      </x:c>
      <x:c r="B203" s="7" t="str">
        <x:v>60100201</x:v>
      </x:c>
      <x:c r="C203" s="7" t="str">
        <x:v>首屏banner点击</x:v>
      </x:c>
      <x:c r="D203" s="5" t="n">
        <x:v>569</x:v>
      </x:c>
      <x:c r="E203" s="5" t="n">
        <x:v>6</x:v>
      </x:c>
      <x:c r="F203" s="6" t="n">
        <x:v>1.1</x:v>
      </x:c>
    </x:row>
    <x:row r="204">
      <x:c r="A204" s="4" t="n">
        <x:v>46206</x:v>
      </x:c>
      <x:c r="B204" s="7" t="str">
        <x:v>60100301</x:v>
      </x:c>
      <x:c r="C204" s="7" t="str">
        <x:v>次屏banner点击</x:v>
      </x:c>
      <x:c r="D204" s="5" t="n">
        <x:v>569</x:v>
      </x:c>
      <x:c r="E204" s="5" t="n">
        <x:v>0</x:v>
      </x:c>
      <x:c r="F204" s="6" t="n">
        <x:v>0</x:v>
      </x:c>
    </x:row>
    <x:row r="205">
      <x:c r="A205" s="4" t="n">
        <x:v>46206</x:v>
      </x:c>
      <x:c r="B205" s="7" t="str">
        <x:v>60100602</x:v>
      </x:c>
      <x:c r="C205" s="7" t="str">
        <x:v>活动banner点击</x:v>
      </x:c>
      <x:c r="D205" s="5" t="n">
        <x:v>569</x:v>
      </x:c>
      <x:c r="E205" s="5" t="n">
        <x:v>10</x:v>
      </x:c>
      <x:c r="F205" s="6" t="n">
        <x:v>1.8</x:v>
      </x:c>
    </x:row>
    <x:row r="206">
      <x:c r="A206" s="4" t="n">
        <x:v>46206</x:v>
      </x:c>
      <x:c r="B206" s="7" t="str">
        <x:v>60100402</x:v>
      </x:c>
      <x:c r="C206" s="7" t="str">
        <x:v>首屏弹窗广告点击</x:v>
      </x:c>
      <x:c r="D206" s="5" t="n">
        <x:v>569</x:v>
      </x:c>
      <x:c r="E206" s="5" t="n">
        <x:v>0</x:v>
      </x:c>
      <x:c r="F206" s="6" t="n">
        <x:v>0</x:v>
      </x:c>
    </x:row>
    <x:row r="207">
      <x:c r="A207" s="4" t="n">
        <x:v>46206</x:v>
      </x:c>
      <x:c r="B207" s="7" t="str">
        <x:v>60100703</x:v>
      </x:c>
      <x:c r="C207" s="7" t="str">
        <x:v>搜索游戏点击</x:v>
      </x:c>
      <x:c r="D207" s="5" t="n">
        <x:v>569</x:v>
      </x:c>
      <x:c r="E207" s="5" t="n">
        <x:v>89</x:v>
      </x:c>
      <x:c r="F207" s="6" t="n">
        <x:v>15.6</x:v>
      </x:c>
    </x:row>
    <x:row r="208">
      <x:c r="A208" s="4" t="n">
        <x:v>46206</x:v>
      </x:c>
      <x:c r="B208" s="7" t="str">
        <x:v>60102605</x:v>
      </x:c>
      <x:c r="C208" s="7" t="str">
        <x:v>页签内点击</x:v>
      </x:c>
      <x:c r="D208" s="5" t="n">
        <x:v>569</x:v>
      </x:c>
      <x:c r="E208" s="5" t="n">
        <x:v>30</x:v>
      </x:c>
      <x:c r="F208" s="6" t="n">
        <x:v>5.3</x:v>
      </x:c>
    </x:row>
    <x:row r="209">
      <x:c r="A209" s="4" t="n">
        <x:v>46206</x:v>
      </x:c>
      <x:c r="B209" s="7" t="str">
        <x:v>60103909</x:v>
      </x:c>
      <x:c r="C209" s="7" t="str">
        <x:v>游戏模块开始玩点击</x:v>
      </x:c>
      <x:c r="D209" s="5" t="n">
        <x:v>569</x:v>
      </x:c>
      <x:c r="E209" s="5" t="n">
        <x:v>128</x:v>
      </x:c>
      <x:c r="F209" s="6" t="n">
        <x:v>22.5</x:v>
      </x:c>
    </x:row>
    <x:row r="210">
      <x:c r="A210" s="4" t="n">
        <x:v>46206</x:v>
      </x:c>
      <x:c r="B210" s="7" t="str">
        <x:v>60103948</x:v>
      </x:c>
      <x:c r="C210" s="7" t="str">
        <x:v>家乡专区游戏点击</x:v>
      </x:c>
      <x:c r="D210" s="5" t="n">
        <x:v>569</x:v>
      </x:c>
      <x:c r="E210" s="5" t="n">
        <x:v>106</x:v>
      </x:c>
      <x:c r="F210" s="6" t="n">
        <x:v>18.6</x:v>
      </x:c>
    </x:row>
    <x:row r="211">
      <x:c r="A211" s="4" t="n">
        <x:v>46207</x:v>
      </x:c>
      <x:c r="B211" s="7" t="str">
        <x:v>60101404</x:v>
      </x:c>
      <x:c r="C211" s="7" t="str">
        <x:v>用户启动游戏</x:v>
      </x:c>
      <x:c r="D211" s="5" t="n">
        <x:v>591</x:v>
      </x:c>
      <x:c r="E211" s="5" t="n">
        <x:v>415</x:v>
      </x:c>
      <x:c r="F211" s="6" t="n">
        <x:v>70.2</x:v>
      </x:c>
    </x:row>
    <x:row r="212">
      <x:c r="A212" s="4" t="n">
        <x:v>46207</x:v>
      </x:c>
      <x:c r="B212" s="7" t="str">
        <x:v>60100102</x:v>
      </x:c>
      <x:c r="C212" s="7" t="str">
        <x:v>本地热门游戏点击</x:v>
      </x:c>
      <x:c r="D212" s="5" t="n">
        <x:v>591</x:v>
      </x:c>
      <x:c r="E212" s="5" t="n">
        <x:v>82</x:v>
      </x:c>
      <x:c r="F212" s="6" t="n">
        <x:v>13.9</x:v>
      </x:c>
    </x:row>
    <x:row r="213">
      <x:c r="A213" s="4" t="n">
        <x:v>46207</x:v>
      </x:c>
      <x:c r="B213" s="7" t="str">
        <x:v>60100103</x:v>
      </x:c>
      <x:c r="C213" s="7" t="str">
        <x:v>推荐列表游戏点击</x:v>
      </x:c>
      <x:c r="D213" s="5" t="n">
        <x:v>591</x:v>
      </x:c>
      <x:c r="E213" s="5" t="n">
        <x:v>5</x:v>
      </x:c>
      <x:c r="F213" s="6" t="n">
        <x:v>0.8</x:v>
      </x:c>
    </x:row>
    <x:row r="214">
      <x:c r="A214" s="4" t="n">
        <x:v>46207</x:v>
      </x:c>
      <x:c r="B214" s="7" t="str">
        <x:v>60100201</x:v>
      </x:c>
      <x:c r="C214" s="7" t="str">
        <x:v>首屏banner点击</x:v>
      </x:c>
      <x:c r="D214" s="5" t="n">
        <x:v>591</x:v>
      </x:c>
      <x:c r="E214" s="5" t="n">
        <x:v>1</x:v>
      </x:c>
      <x:c r="F214" s="6" t="n">
        <x:v>0.2</x:v>
      </x:c>
    </x:row>
    <x:row r="215">
      <x:c r="A215" s="4" t="n">
        <x:v>46207</x:v>
      </x:c>
      <x:c r="B215" s="7" t="str">
        <x:v>60100301</x:v>
      </x:c>
      <x:c r="C215" s="7" t="str">
        <x:v>次屏banner点击</x:v>
      </x:c>
      <x:c r="D215" s="5" t="n">
        <x:v>591</x:v>
      </x:c>
      <x:c r="E215" s="5" t="n">
        <x:v>0</x:v>
      </x:c>
      <x:c r="F215" s="6" t="n">
        <x:v>0</x:v>
      </x:c>
    </x:row>
    <x:row r="216">
      <x:c r="A216" s="4" t="n">
        <x:v>46207</x:v>
      </x:c>
      <x:c r="B216" s="7" t="str">
        <x:v>60100602</x:v>
      </x:c>
      <x:c r="C216" s="7" t="str">
        <x:v>活动banner点击</x:v>
      </x:c>
      <x:c r="D216" s="5" t="n">
        <x:v>591</x:v>
      </x:c>
      <x:c r="E216" s="5" t="n">
        <x:v>9</x:v>
      </x:c>
      <x:c r="F216" s="6" t="n">
        <x:v>1.5</x:v>
      </x:c>
    </x:row>
    <x:row r="217">
      <x:c r="A217" s="4" t="n">
        <x:v>46207</x:v>
      </x:c>
      <x:c r="B217" s="7" t="str">
        <x:v>60100402</x:v>
      </x:c>
      <x:c r="C217" s="7" t="str">
        <x:v>首屏弹窗广告点击</x:v>
      </x:c>
      <x:c r="D217" s="5" t="n">
        <x:v>591</x:v>
      </x:c>
      <x:c r="E217" s="5" t="n">
        <x:v>1</x:v>
      </x:c>
      <x:c r="F217" s="6" t="n">
        <x:v>0.2</x:v>
      </x:c>
    </x:row>
    <x:row r="218">
      <x:c r="A218" s="4" t="n">
        <x:v>46207</x:v>
      </x:c>
      <x:c r="B218" s="7" t="str">
        <x:v>60100703</x:v>
      </x:c>
      <x:c r="C218" s="7" t="str">
        <x:v>搜索游戏点击</x:v>
      </x:c>
      <x:c r="D218" s="5" t="n">
        <x:v>591</x:v>
      </x:c>
      <x:c r="E218" s="5" t="n">
        <x:v>69</x:v>
      </x:c>
      <x:c r="F218" s="6" t="n">
        <x:v>11.7</x:v>
      </x:c>
    </x:row>
    <x:row r="219">
      <x:c r="A219" s="4" t="n">
        <x:v>46207</x:v>
      </x:c>
      <x:c r="B219" s="7" t="str">
        <x:v>60102605</x:v>
      </x:c>
      <x:c r="C219" s="7" t="str">
        <x:v>页签内点击</x:v>
      </x:c>
      <x:c r="D219" s="5" t="n">
        <x:v>591</x:v>
      </x:c>
      <x:c r="E219" s="5" t="n">
        <x:v>28</x:v>
      </x:c>
      <x:c r="F219" s="6" t="n">
        <x:v>4.7</x:v>
      </x:c>
    </x:row>
    <x:row r="220">
      <x:c r="A220" s="4" t="n">
        <x:v>46207</x:v>
      </x:c>
      <x:c r="B220" s="7" t="str">
        <x:v>60103909</x:v>
      </x:c>
      <x:c r="C220" s="7" t="str">
        <x:v>游戏模块开始玩点击</x:v>
      </x:c>
      <x:c r="D220" s="5" t="n">
        <x:v>591</x:v>
      </x:c>
      <x:c r="E220" s="5" t="n">
        <x:v>118</x:v>
      </x:c>
      <x:c r="F220" s="6" t="n">
        <x:v>20</x:v>
      </x:c>
    </x:row>
    <x:row r="221">
      <x:c r="A221" s="4" t="n">
        <x:v>46207</x:v>
      </x:c>
      <x:c r="B221" s="7" t="str">
        <x:v>60103948</x:v>
      </x:c>
      <x:c r="C221" s="7" t="str">
        <x:v>家乡专区游戏点击</x:v>
      </x:c>
      <x:c r="D221" s="5" t="n">
        <x:v>591</x:v>
      </x:c>
      <x:c r="E221" s="5" t="n">
        <x:v>124</x:v>
      </x:c>
      <x:c r="F221" s="6" t="n">
        <x:v>21</x:v>
      </x:c>
    </x:row>
    <x:row r="222">
      <x:c r="A222" s="4" t="n">
        <x:v>46208</x:v>
      </x:c>
      <x:c r="B222" s="7" t="str">
        <x:v>60101404</x:v>
      </x:c>
      <x:c r="C222" s="7" t="str">
        <x:v>用户启动游戏</x:v>
      </x:c>
      <x:c r="D222" s="5" t="n">
        <x:v>555</x:v>
      </x:c>
      <x:c r="E222" s="5" t="n">
        <x:v>392</x:v>
      </x:c>
      <x:c r="F222" s="6" t="n">
        <x:v>70.6</x:v>
      </x:c>
    </x:row>
    <x:row r="223">
      <x:c r="A223" s="4" t="n">
        <x:v>46208</x:v>
      </x:c>
      <x:c r="B223" s="7" t="str">
        <x:v>60100102</x:v>
      </x:c>
      <x:c r="C223" s="7" t="str">
        <x:v>本地热门游戏点击</x:v>
      </x:c>
      <x:c r="D223" s="5" t="n">
        <x:v>555</x:v>
      </x:c>
      <x:c r="E223" s="5" t="n">
        <x:v>79</x:v>
      </x:c>
      <x:c r="F223" s="6" t="n">
        <x:v>14.2</x:v>
      </x:c>
    </x:row>
    <x:row r="224">
      <x:c r="A224" s="4" t="n">
        <x:v>46208</x:v>
      </x:c>
      <x:c r="B224" s="7" t="str">
        <x:v>60100103</x:v>
      </x:c>
      <x:c r="C224" s="7" t="str">
        <x:v>推荐列表游戏点击</x:v>
      </x:c>
      <x:c r="D224" s="5" t="n">
        <x:v>555</x:v>
      </x:c>
      <x:c r="E224" s="5" t="n">
        <x:v>4</x:v>
      </x:c>
      <x:c r="F224" s="6" t="n">
        <x:v>0.7</x:v>
      </x:c>
    </x:row>
    <x:row r="225">
      <x:c r="A225" s="4" t="n">
        <x:v>46208</x:v>
      </x:c>
      <x:c r="B225" s="7" t="str">
        <x:v>60100201</x:v>
      </x:c>
      <x:c r="C225" s="7" t="str">
        <x:v>首屏banner点击</x:v>
      </x:c>
      <x:c r="D225" s="5" t="n">
        <x:v>555</x:v>
      </x:c>
      <x:c r="E225" s="5" t="n">
        <x:v>3</x:v>
      </x:c>
      <x:c r="F225" s="6" t="n">
        <x:v>0.5</x:v>
      </x:c>
    </x:row>
    <x:row r="226">
      <x:c r="A226" s="4" t="n">
        <x:v>46208</x:v>
      </x:c>
      <x:c r="B226" s="7" t="str">
        <x:v>60100301</x:v>
      </x:c>
      <x:c r="C226" s="7" t="str">
        <x:v>次屏banner点击</x:v>
      </x:c>
      <x:c r="D226" s="5" t="n">
        <x:v>555</x:v>
      </x:c>
      <x:c r="E226" s="5" t="n">
        <x:v>0</x:v>
      </x:c>
      <x:c r="F226" s="6" t="n">
        <x:v>0</x:v>
      </x:c>
    </x:row>
    <x:row r="227">
      <x:c r="A227" s="4" t="n">
        <x:v>46208</x:v>
      </x:c>
      <x:c r="B227" s="7" t="str">
        <x:v>60100602</x:v>
      </x:c>
      <x:c r="C227" s="7" t="str">
        <x:v>活动banner点击</x:v>
      </x:c>
      <x:c r="D227" s="5" t="n">
        <x:v>555</x:v>
      </x:c>
      <x:c r="E227" s="5" t="n">
        <x:v>17</x:v>
      </x:c>
      <x:c r="F227" s="6" t="n">
        <x:v>3.1</x:v>
      </x:c>
    </x:row>
    <x:row r="228">
      <x:c r="A228" s="4" t="n">
        <x:v>46208</x:v>
      </x:c>
      <x:c r="B228" s="7" t="str">
        <x:v>60100402</x:v>
      </x:c>
      <x:c r="C228" s="7" t="str">
        <x:v>首屏弹窗广告点击</x:v>
      </x:c>
      <x:c r="D228" s="5" t="n">
        <x:v>555</x:v>
      </x:c>
      <x:c r="E228" s="5" t="n">
        <x:v>1</x:v>
      </x:c>
      <x:c r="F228" s="6" t="n">
        <x:v>0.2</x:v>
      </x:c>
    </x:row>
    <x:row r="229">
      <x:c r="A229" s="4" t="n">
        <x:v>46208</x:v>
      </x:c>
      <x:c r="B229" s="7" t="str">
        <x:v>60100703</x:v>
      </x:c>
      <x:c r="C229" s="7" t="str">
        <x:v>搜索游戏点击</x:v>
      </x:c>
      <x:c r="D229" s="5" t="n">
        <x:v>555</x:v>
      </x:c>
      <x:c r="E229" s="5" t="n">
        <x:v>73</x:v>
      </x:c>
      <x:c r="F229" s="6" t="n">
        <x:v>13.2</x:v>
      </x:c>
    </x:row>
    <x:row r="230">
      <x:c r="A230" s="4" t="n">
        <x:v>46208</x:v>
      </x:c>
      <x:c r="B230" s="7" t="str">
        <x:v>60102605</x:v>
      </x:c>
      <x:c r="C230" s="7" t="str">
        <x:v>页签内点击</x:v>
      </x:c>
      <x:c r="D230" s="5" t="n">
        <x:v>555</x:v>
      </x:c>
      <x:c r="E230" s="5" t="n">
        <x:v>23</x:v>
      </x:c>
      <x:c r="F230" s="6" t="n">
        <x:v>4.1</x:v>
      </x:c>
    </x:row>
    <x:row r="231">
      <x:c r="A231" s="4" t="n">
        <x:v>46208</x:v>
      </x:c>
      <x:c r="B231" s="7" t="str">
        <x:v>60103909</x:v>
      </x:c>
      <x:c r="C231" s="7" t="str">
        <x:v>游戏模块开始玩点击</x:v>
      </x:c>
      <x:c r="D231" s="5" t="n">
        <x:v>555</x:v>
      </x:c>
      <x:c r="E231" s="5" t="n">
        <x:v>118</x:v>
      </x:c>
      <x:c r="F231" s="6" t="n">
        <x:v>21.3</x:v>
      </x:c>
    </x:row>
    <x:row r="232">
      <x:c r="A232" s="4" t="n">
        <x:v>46208</x:v>
      </x:c>
      <x:c r="B232" s="7" t="str">
        <x:v>60103948</x:v>
      </x:c>
      <x:c r="C232" s="7" t="str">
        <x:v>家乡专区游戏点击</x:v>
      </x:c>
      <x:c r="D232" s="5" t="n">
        <x:v>555</x:v>
      </x:c>
      <x:c r="E232" s="5" t="n">
        <x:v>111</x:v>
      </x:c>
      <x:c r="F232" s="6" t="n">
        <x:v>20</x:v>
      </x:c>
    </x:row>
    <x:row r="233">
      <x:c r="A233" s="4" t="n">
        <x:v>46209</x:v>
      </x:c>
      <x:c r="B233" s="7" t="str">
        <x:v>60101404</x:v>
      </x:c>
      <x:c r="C233" s="7" t="str">
        <x:v>用户启动游戏</x:v>
      </x:c>
      <x:c r="D233" s="5" t="n">
        <x:v>520</x:v>
      </x:c>
      <x:c r="E233" s="5" t="n">
        <x:v>367</x:v>
      </x:c>
      <x:c r="F233" s="6" t="n">
        <x:v>70.6</x:v>
      </x:c>
    </x:row>
    <x:row r="234">
      <x:c r="A234" s="4" t="n">
        <x:v>46209</x:v>
      </x:c>
      <x:c r="B234" s="7" t="str">
        <x:v>60100102</x:v>
      </x:c>
      <x:c r="C234" s="7" t="str">
        <x:v>本地热门游戏点击</x:v>
      </x:c>
      <x:c r="D234" s="5" t="n">
        <x:v>520</x:v>
      </x:c>
      <x:c r="E234" s="5" t="n">
        <x:v>78</x:v>
      </x:c>
      <x:c r="F234" s="6" t="n">
        <x:v>15</x:v>
      </x:c>
    </x:row>
    <x:row r="235">
      <x:c r="A235" s="4" t="n">
        <x:v>46209</x:v>
      </x:c>
      <x:c r="B235" s="7" t="str">
        <x:v>60100103</x:v>
      </x:c>
      <x:c r="C235" s="7" t="str">
        <x:v>推荐列表游戏点击</x:v>
      </x:c>
      <x:c r="D235" s="5" t="n">
        <x:v>520</x:v>
      </x:c>
      <x:c r="E235" s="5" t="n">
        <x:v>5</x:v>
      </x:c>
      <x:c r="F235" s="6" t="n">
        <x:v>1</x:v>
      </x:c>
    </x:row>
    <x:row r="236">
      <x:c r="A236" s="4" t="n">
        <x:v>46209</x:v>
      </x:c>
      <x:c r="B236" s="7" t="str">
        <x:v>60100201</x:v>
      </x:c>
      <x:c r="C236" s="7" t="str">
        <x:v>首屏banner点击</x:v>
      </x:c>
      <x:c r="D236" s="5" t="n">
        <x:v>520</x:v>
      </x:c>
      <x:c r="E236" s="5" t="n">
        <x:v>5</x:v>
      </x:c>
      <x:c r="F236" s="6" t="n">
        <x:v>1</x:v>
      </x:c>
    </x:row>
    <x:row r="237">
      <x:c r="A237" s="4" t="n">
        <x:v>46209</x:v>
      </x:c>
      <x:c r="B237" s="7" t="str">
        <x:v>60100301</x:v>
      </x:c>
      <x:c r="C237" s="7" t="str">
        <x:v>次屏banner点击</x:v>
      </x:c>
      <x:c r="D237" s="5" t="n">
        <x:v>520</x:v>
      </x:c>
      <x:c r="E237" s="5" t="n">
        <x:v>1</x:v>
      </x:c>
      <x:c r="F237" s="6" t="n">
        <x:v>0.2</x:v>
      </x:c>
    </x:row>
    <x:row r="238">
      <x:c r="A238" s="4" t="n">
        <x:v>46209</x:v>
      </x:c>
      <x:c r="B238" s="7" t="str">
        <x:v>60100602</x:v>
      </x:c>
      <x:c r="C238" s="7" t="str">
        <x:v>活动banner点击</x:v>
      </x:c>
      <x:c r="D238" s="5" t="n">
        <x:v>520</x:v>
      </x:c>
      <x:c r="E238" s="5" t="n">
        <x:v>0</x:v>
      </x:c>
      <x:c r="F238" s="6" t="n">
        <x:v>0</x:v>
      </x:c>
    </x:row>
    <x:row r="239">
      <x:c r="A239" s="4" t="n">
        <x:v>46209</x:v>
      </x:c>
      <x:c r="B239" s="7" t="str">
        <x:v>60100402</x:v>
      </x:c>
      <x:c r="C239" s="7" t="str">
        <x:v>首屏弹窗广告点击</x:v>
      </x:c>
      <x:c r="D239" s="5" t="n">
        <x:v>520</x:v>
      </x:c>
      <x:c r="E239" s="5" t="n">
        <x:v>0</x:v>
      </x:c>
      <x:c r="F239" s="6" t="n">
        <x:v>0</x:v>
      </x:c>
    </x:row>
    <x:row r="240">
      <x:c r="A240" s="4" t="n">
        <x:v>46209</x:v>
      </x:c>
      <x:c r="B240" s="7" t="str">
        <x:v>60100703</x:v>
      </x:c>
      <x:c r="C240" s="7" t="str">
        <x:v>搜索游戏点击</x:v>
      </x:c>
      <x:c r="D240" s="5" t="n">
        <x:v>520</x:v>
      </x:c>
      <x:c r="E240" s="5" t="n">
        <x:v>68</x:v>
      </x:c>
      <x:c r="F240" s="6" t="n">
        <x:v>13.1</x:v>
      </x:c>
    </x:row>
    <x:row r="241">
      <x:c r="A241" s="4" t="n">
        <x:v>46209</x:v>
      </x:c>
      <x:c r="B241" s="7" t="str">
        <x:v>60102605</x:v>
      </x:c>
      <x:c r="C241" s="7" t="str">
        <x:v>页签内点击</x:v>
      </x:c>
      <x:c r="D241" s="5" t="n">
        <x:v>520</x:v>
      </x:c>
      <x:c r="E241" s="5" t="n">
        <x:v>19</x:v>
      </x:c>
      <x:c r="F241" s="6" t="n">
        <x:v>3.7</x:v>
      </x:c>
    </x:row>
    <x:row r="242">
      <x:c r="A242" s="4" t="n">
        <x:v>46209</x:v>
      </x:c>
      <x:c r="B242" s="7" t="str">
        <x:v>60103909</x:v>
      </x:c>
      <x:c r="C242" s="7" t="str">
        <x:v>游戏模块开始玩点击</x:v>
      </x:c>
      <x:c r="D242" s="5" t="n">
        <x:v>520</x:v>
      </x:c>
      <x:c r="E242" s="5" t="n">
        <x:v>113</x:v>
      </x:c>
      <x:c r="F242" s="6" t="n">
        <x:v>21.7</x:v>
      </x:c>
    </x:row>
    <x:row r="243">
      <x:c r="A243" s="4" t="n">
        <x:v>46209</x:v>
      </x:c>
      <x:c r="B243" s="7" t="str">
        <x:v>60103948</x:v>
      </x:c>
      <x:c r="C243" s="7" t="str">
        <x:v>家乡专区游戏点击</x:v>
      </x:c>
      <x:c r="D243" s="5" t="n">
        <x:v>520</x:v>
      </x:c>
      <x:c r="E243" s="5" t="n">
        <x:v>97</x:v>
      </x:c>
      <x:c r="F243" s="6" t="n">
        <x:v>18.7</x:v>
      </x:c>
    </x:row>
    <x:row r="244">
      <x:c r="A244" s="4" t="n">
        <x:v>46210</x:v>
      </x:c>
      <x:c r="B244" s="7" t="str">
        <x:v>60101404</x:v>
      </x:c>
      <x:c r="C244" s="7" t="str">
        <x:v>用户启动游戏</x:v>
      </x:c>
      <x:c r="D244" s="5" t="n">
        <x:v>577</x:v>
      </x:c>
      <x:c r="E244" s="5" t="n">
        <x:v>404</x:v>
      </x:c>
      <x:c r="F244" s="6" t="n">
        <x:v>70</x:v>
      </x:c>
    </x:row>
    <x:row r="245">
      <x:c r="A245" s="4" t="n">
        <x:v>46210</x:v>
      </x:c>
      <x:c r="B245" s="7" t="str">
        <x:v>60100102</x:v>
      </x:c>
      <x:c r="C245" s="7" t="str">
        <x:v>本地热门游戏点击</x:v>
      </x:c>
      <x:c r="D245" s="5" t="n">
        <x:v>577</x:v>
      </x:c>
      <x:c r="E245" s="5" t="n">
        <x:v>96</x:v>
      </x:c>
      <x:c r="F245" s="6" t="n">
        <x:v>16.6</x:v>
      </x:c>
    </x:row>
    <x:row r="246">
      <x:c r="A246" s="4" t="n">
        <x:v>46210</x:v>
      </x:c>
      <x:c r="B246" s="7" t="str">
        <x:v>60100103</x:v>
      </x:c>
      <x:c r="C246" s="7" t="str">
        <x:v>推荐列表游戏点击</x:v>
      </x:c>
      <x:c r="D246" s="5" t="n">
        <x:v>577</x:v>
      </x:c>
      <x:c r="E246" s="5" t="n">
        <x:v>8</x:v>
      </x:c>
      <x:c r="F246" s="6" t="n">
        <x:v>1.4</x:v>
      </x:c>
    </x:row>
    <x:row r="247">
      <x:c r="A247" s="4" t="n">
        <x:v>46210</x:v>
      </x:c>
      <x:c r="B247" s="7" t="str">
        <x:v>60100201</x:v>
      </x:c>
      <x:c r="C247" s="7" t="str">
        <x:v>首屏banner点击</x:v>
      </x:c>
      <x:c r="D247" s="5" t="n">
        <x:v>577</x:v>
      </x:c>
      <x:c r="E247" s="5" t="n">
        <x:v>3</x:v>
      </x:c>
      <x:c r="F247" s="6" t="n">
        <x:v>0.5</x:v>
      </x:c>
    </x:row>
    <x:row r="248">
      <x:c r="A248" s="4" t="n">
        <x:v>46210</x:v>
      </x:c>
      <x:c r="B248" s="7" t="str">
        <x:v>60100301</x:v>
      </x:c>
      <x:c r="C248" s="7" t="str">
        <x:v>次屏banner点击</x:v>
      </x:c>
      <x:c r="D248" s="5" t="n">
        <x:v>577</x:v>
      </x:c>
      <x:c r="E248" s="5" t="n">
        <x:v>1</x:v>
      </x:c>
      <x:c r="F248" s="6" t="n">
        <x:v>0.2</x:v>
      </x:c>
    </x:row>
    <x:row r="249">
      <x:c r="A249" s="4" t="n">
        <x:v>46210</x:v>
      </x:c>
      <x:c r="B249" s="7" t="str">
        <x:v>60100602</x:v>
      </x:c>
      <x:c r="C249" s="7" t="str">
        <x:v>活动banner点击</x:v>
      </x:c>
      <x:c r="D249" s="5" t="n">
        <x:v>577</x:v>
      </x:c>
      <x:c r="E249" s="5" t="n">
        <x:v>0</x:v>
      </x:c>
      <x:c r="F249" s="6" t="n">
        <x:v>0</x:v>
      </x:c>
    </x:row>
    <x:row r="250">
      <x:c r="A250" s="4" t="n">
        <x:v>46210</x:v>
      </x:c>
      <x:c r="B250" s="7" t="str">
        <x:v>60100402</x:v>
      </x:c>
      <x:c r="C250" s="7" t="str">
        <x:v>首屏弹窗广告点击</x:v>
      </x:c>
      <x:c r="D250" s="5" t="n">
        <x:v>577</x:v>
      </x:c>
      <x:c r="E250" s="5" t="n">
        <x:v>0</x:v>
      </x:c>
      <x:c r="F250" s="6" t="n">
        <x:v>0</x:v>
      </x:c>
    </x:row>
    <x:row r="251">
      <x:c r="A251" s="4" t="n">
        <x:v>46210</x:v>
      </x:c>
      <x:c r="B251" s="7" t="str">
        <x:v>60100703</x:v>
      </x:c>
      <x:c r="C251" s="7" t="str">
        <x:v>搜索游戏点击</x:v>
      </x:c>
      <x:c r="D251" s="5" t="n">
        <x:v>577</x:v>
      </x:c>
      <x:c r="E251" s="5" t="n">
        <x:v>74</x:v>
      </x:c>
      <x:c r="F251" s="6" t="n">
        <x:v>12.8</x:v>
      </x:c>
    </x:row>
    <x:row r="252">
      <x:c r="A252" s="4" t="n">
        <x:v>46210</x:v>
      </x:c>
      <x:c r="B252" s="7" t="str">
        <x:v>60102605</x:v>
      </x:c>
      <x:c r="C252" s="7" t="str">
        <x:v>页签内点击</x:v>
      </x:c>
      <x:c r="D252" s="5" t="n">
        <x:v>577</x:v>
      </x:c>
      <x:c r="E252" s="5" t="n">
        <x:v>18</x:v>
      </x:c>
      <x:c r="F252" s="6" t="n">
        <x:v>3.1</x:v>
      </x:c>
    </x:row>
    <x:row r="253">
      <x:c r="A253" s="4" t="n">
        <x:v>46210</x:v>
      </x:c>
      <x:c r="B253" s="7" t="str">
        <x:v>60103909</x:v>
      </x:c>
      <x:c r="C253" s="7" t="str">
        <x:v>游戏模块开始玩点击</x:v>
      </x:c>
      <x:c r="D253" s="5" t="n">
        <x:v>577</x:v>
      </x:c>
      <x:c r="E253" s="5" t="n">
        <x:v>106</x:v>
      </x:c>
      <x:c r="F253" s="6" t="n">
        <x:v>18.4</x:v>
      </x:c>
    </x:row>
    <x:row r="254">
      <x:c r="A254" s="4" t="n">
        <x:v>46210</x:v>
      </x:c>
      <x:c r="B254" s="7" t="str">
        <x:v>60103948</x:v>
      </x:c>
      <x:c r="C254" s="7" t="str">
        <x:v>家乡专区游戏点击</x:v>
      </x:c>
      <x:c r="D254" s="5" t="n">
        <x:v>577</x:v>
      </x:c>
      <x:c r="E254" s="5" t="n">
        <x:v>114</x:v>
      </x:c>
      <x:c r="F254" s="6" t="n">
        <x:v>19.8</x:v>
      </x:c>
    </x:row>
    <x:row r="255">
      <x:c r="A255" s="4" t="n">
        <x:v>46211</x:v>
      </x:c>
      <x:c r="B255" s="7" t="str">
        <x:v>60101404</x:v>
      </x:c>
      <x:c r="C255" s="7" t="str">
        <x:v>用户启动游戏</x:v>
      </x:c>
      <x:c r="D255" s="5" t="n">
        <x:v>532</x:v>
      </x:c>
      <x:c r="E255" s="5" t="n">
        <x:v>373</x:v>
      </x:c>
      <x:c r="F255" s="6" t="n">
        <x:v>70.1</x:v>
      </x:c>
    </x:row>
    <x:row r="256">
      <x:c r="A256" s="4" t="n">
        <x:v>46211</x:v>
      </x:c>
      <x:c r="B256" s="7" t="str">
        <x:v>60100102</x:v>
      </x:c>
      <x:c r="C256" s="7" t="str">
        <x:v>本地热门游戏点击</x:v>
      </x:c>
      <x:c r="D256" s="5" t="n">
        <x:v>532</x:v>
      </x:c>
      <x:c r="E256" s="5" t="n">
        <x:v>83</x:v>
      </x:c>
      <x:c r="F256" s="6" t="n">
        <x:v>15.6</x:v>
      </x:c>
    </x:row>
    <x:row r="257">
      <x:c r="A257" s="4" t="n">
        <x:v>46211</x:v>
      </x:c>
      <x:c r="B257" s="7" t="str">
        <x:v>60100103</x:v>
      </x:c>
      <x:c r="C257" s="7" t="str">
        <x:v>推荐列表游戏点击</x:v>
      </x:c>
      <x:c r="D257" s="5" t="n">
        <x:v>532</x:v>
      </x:c>
      <x:c r="E257" s="5" t="n">
        <x:v>8</x:v>
      </x:c>
      <x:c r="F257" s="6" t="n">
        <x:v>1.5</x:v>
      </x:c>
    </x:row>
    <x:row r="258">
      <x:c r="A258" s="4" t="n">
        <x:v>46211</x:v>
      </x:c>
      <x:c r="B258" s="7" t="str">
        <x:v>60100201</x:v>
      </x:c>
      <x:c r="C258" s="7" t="str">
        <x:v>首屏banner点击</x:v>
      </x:c>
      <x:c r="D258" s="5" t="n">
        <x:v>532</x:v>
      </x:c>
      <x:c r="E258" s="5" t="n">
        <x:v>8</x:v>
      </x:c>
      <x:c r="F258" s="6" t="n">
        <x:v>1.5</x:v>
      </x:c>
    </x:row>
    <x:row r="259">
      <x:c r="A259" s="4" t="n">
        <x:v>46211</x:v>
      </x:c>
      <x:c r="B259" s="7" t="str">
        <x:v>60100301</x:v>
      </x:c>
      <x:c r="C259" s="7" t="str">
        <x:v>次屏banner点击</x:v>
      </x:c>
      <x:c r="D259" s="5" t="n">
        <x:v>532</x:v>
      </x:c>
      <x:c r="E259" s="5" t="n">
        <x:v>0</x:v>
      </x:c>
      <x:c r="F259" s="6" t="n">
        <x:v>0</x:v>
      </x:c>
    </x:row>
    <x:row r="260">
      <x:c r="A260" s="4" t="n">
        <x:v>46211</x:v>
      </x:c>
      <x:c r="B260" s="7" t="str">
        <x:v>60100602</x:v>
      </x:c>
      <x:c r="C260" s="7" t="str">
        <x:v>活动banner点击</x:v>
      </x:c>
      <x:c r="D260" s="5" t="n">
        <x:v>532</x:v>
      </x:c>
      <x:c r="E260" s="5" t="n">
        <x:v>0</x:v>
      </x:c>
      <x:c r="F260" s="6" t="n">
        <x:v>0</x:v>
      </x:c>
    </x:row>
    <x:row r="261">
      <x:c r="A261" s="4" t="n">
        <x:v>46211</x:v>
      </x:c>
      <x:c r="B261" s="7" t="str">
        <x:v>60100402</x:v>
      </x:c>
      <x:c r="C261" s="7" t="str">
        <x:v>首屏弹窗广告点击</x:v>
      </x:c>
      <x:c r="D261" s="5" t="n">
        <x:v>532</x:v>
      </x:c>
      <x:c r="E261" s="5" t="n">
        <x:v>0</x:v>
      </x:c>
      <x:c r="F261" s="6" t="n">
        <x:v>0</x:v>
      </x:c>
    </x:row>
    <x:row r="262">
      <x:c r="A262" s="4" t="n">
        <x:v>46211</x:v>
      </x:c>
      <x:c r="B262" s="7" t="str">
        <x:v>60100703</x:v>
      </x:c>
      <x:c r="C262" s="7" t="str">
        <x:v>搜索游戏点击</x:v>
      </x:c>
      <x:c r="D262" s="5" t="n">
        <x:v>532</x:v>
      </x:c>
      <x:c r="E262" s="5" t="n">
        <x:v>68</x:v>
      </x:c>
      <x:c r="F262" s="6" t="n">
        <x:v>12.8</x:v>
      </x:c>
    </x:row>
    <x:row r="263">
      <x:c r="A263" s="4" t="n">
        <x:v>46211</x:v>
      </x:c>
      <x:c r="B263" s="7" t="str">
        <x:v>60102605</x:v>
      </x:c>
      <x:c r="C263" s="7" t="str">
        <x:v>页签内点击</x:v>
      </x:c>
      <x:c r="D263" s="5" t="n">
        <x:v>532</x:v>
      </x:c>
      <x:c r="E263" s="5" t="n">
        <x:v>22</x:v>
      </x:c>
      <x:c r="F263" s="6" t="n">
        <x:v>4.1</x:v>
      </x:c>
    </x:row>
    <x:row r="264">
      <x:c r="A264" s="4" t="n">
        <x:v>46211</x:v>
      </x:c>
      <x:c r="B264" s="7" t="str">
        <x:v>60103909</x:v>
      </x:c>
      <x:c r="C264" s="7" t="str">
        <x:v>游戏模块开始玩点击</x:v>
      </x:c>
      <x:c r="D264" s="5" t="n">
        <x:v>532</x:v>
      </x:c>
      <x:c r="E264" s="5" t="n">
        <x:v>107</x:v>
      </x:c>
      <x:c r="F264" s="6" t="n">
        <x:v>20.1</x:v>
      </x:c>
    </x:row>
    <x:row r="265">
      <x:c r="A265" s="4" t="n">
        <x:v>46211</x:v>
      </x:c>
      <x:c r="B265" s="7" t="str">
        <x:v>60103948</x:v>
      </x:c>
      <x:c r="C265" s="7" t="str">
        <x:v>家乡专区游戏点击</x:v>
      </x:c>
      <x:c r="D265" s="5" t="n">
        <x:v>532</x:v>
      </x:c>
      <x:c r="E265" s="5" t="n">
        <x:v>86</x:v>
      </x:c>
      <x:c r="F265" s="6" t="n">
        <x:v>16.2</x:v>
      </x:c>
    </x:row>
    <x:row r="266">
      <x:c r="A266" s="4" t="n">
        <x:v>46212</x:v>
      </x:c>
      <x:c r="B266" s="7" t="str">
        <x:v>60101404</x:v>
      </x:c>
      <x:c r="C266" s="7" t="str">
        <x:v>用户启动游戏</x:v>
      </x:c>
      <x:c r="D266" s="5" t="n">
        <x:v>569</x:v>
      </x:c>
      <x:c r="E266" s="5" t="n">
        <x:v>391</x:v>
      </x:c>
      <x:c r="F266" s="6" t="n">
        <x:v>68.7</x:v>
      </x:c>
    </x:row>
    <x:row r="267">
      <x:c r="A267" s="4" t="n">
        <x:v>46212</x:v>
      </x:c>
      <x:c r="B267" s="7" t="str">
        <x:v>60100102</x:v>
      </x:c>
      <x:c r="C267" s="7" t="str">
        <x:v>本地热门游戏点击</x:v>
      </x:c>
      <x:c r="D267" s="5" t="n">
        <x:v>569</x:v>
      </x:c>
      <x:c r="E267" s="5" t="n">
        <x:v>78</x:v>
      </x:c>
      <x:c r="F267" s="6" t="n">
        <x:v>13.7</x:v>
      </x:c>
    </x:row>
    <x:row r="268">
      <x:c r="A268" s="4" t="n">
        <x:v>46212</x:v>
      </x:c>
      <x:c r="B268" s="7" t="str">
        <x:v>60100103</x:v>
      </x:c>
      <x:c r="C268" s="7" t="str">
        <x:v>推荐列表游戏点击</x:v>
      </x:c>
      <x:c r="D268" s="5" t="n">
        <x:v>569</x:v>
      </x:c>
      <x:c r="E268" s="5" t="n">
        <x:v>5</x:v>
      </x:c>
      <x:c r="F268" s="6" t="n">
        <x:v>0.9</x:v>
      </x:c>
    </x:row>
    <x:row r="269">
      <x:c r="A269" s="4" t="n">
        <x:v>46212</x:v>
      </x:c>
      <x:c r="B269" s="7" t="str">
        <x:v>60100201</x:v>
      </x:c>
      <x:c r="C269" s="7" t="str">
        <x:v>首屏banner点击</x:v>
      </x:c>
      <x:c r="D269" s="5" t="n">
        <x:v>569</x:v>
      </x:c>
      <x:c r="E269" s="5" t="n">
        <x:v>6</x:v>
      </x:c>
      <x:c r="F269" s="6" t="n">
        <x:v>1.1</x:v>
      </x:c>
    </x:row>
    <x:row r="270">
      <x:c r="A270" s="4" t="n">
        <x:v>46212</x:v>
      </x:c>
      <x:c r="B270" s="7" t="str">
        <x:v>60100301</x:v>
      </x:c>
      <x:c r="C270" s="7" t="str">
        <x:v>次屏banner点击</x:v>
      </x:c>
      <x:c r="D270" s="5" t="n">
        <x:v>569</x:v>
      </x:c>
      <x:c r="E270" s="5" t="n">
        <x:v>1</x:v>
      </x:c>
      <x:c r="F270" s="6" t="n">
        <x:v>0.2</x:v>
      </x:c>
    </x:row>
    <x:row r="271">
      <x:c r="A271" s="4" t="n">
        <x:v>46212</x:v>
      </x:c>
      <x:c r="B271" s="7" t="str">
        <x:v>60100602</x:v>
      </x:c>
      <x:c r="C271" s="7" t="str">
        <x:v>活动banner点击</x:v>
      </x:c>
      <x:c r="D271" s="5" t="n">
        <x:v>569</x:v>
      </x:c>
      <x:c r="E271" s="5" t="n">
        <x:v>0</x:v>
      </x:c>
      <x:c r="F271" s="6" t="n">
        <x:v>0</x:v>
      </x:c>
    </x:row>
    <x:row r="272">
      <x:c r="A272" s="4" t="n">
        <x:v>46212</x:v>
      </x:c>
      <x:c r="B272" s="7" t="str">
        <x:v>60100402</x:v>
      </x:c>
      <x:c r="C272" s="7" t="str">
        <x:v>首屏弹窗广告点击</x:v>
      </x:c>
      <x:c r="D272" s="5" t="n">
        <x:v>569</x:v>
      </x:c>
      <x:c r="E272" s="5" t="n">
        <x:v>0</x:v>
      </x:c>
      <x:c r="F272" s="6" t="n">
        <x:v>0</x:v>
      </x:c>
    </x:row>
    <x:row r="273">
      <x:c r="A273" s="4" t="n">
        <x:v>46212</x:v>
      </x:c>
      <x:c r="B273" s="7" t="str">
        <x:v>60100703</x:v>
      </x:c>
      <x:c r="C273" s="7" t="str">
        <x:v>搜索游戏点击</x:v>
      </x:c>
      <x:c r="D273" s="5" t="n">
        <x:v>569</x:v>
      </x:c>
      <x:c r="E273" s="5" t="n">
        <x:v>70</x:v>
      </x:c>
      <x:c r="F273" s="6" t="n">
        <x:v>12.3</x:v>
      </x:c>
    </x:row>
    <x:row r="274">
      <x:c r="A274" s="4" t="n">
        <x:v>46212</x:v>
      </x:c>
      <x:c r="B274" s="7" t="str">
        <x:v>60102605</x:v>
      </x:c>
      <x:c r="C274" s="7" t="str">
        <x:v>页签内点击</x:v>
      </x:c>
      <x:c r="D274" s="5" t="n">
        <x:v>569</x:v>
      </x:c>
      <x:c r="E274" s="5" t="n">
        <x:v>28</x:v>
      </x:c>
      <x:c r="F274" s="6" t="n">
        <x:v>4.9</x:v>
      </x:c>
    </x:row>
    <x:row r="275">
      <x:c r="A275" s="4" t="n">
        <x:v>46212</x:v>
      </x:c>
      <x:c r="B275" s="7" t="str">
        <x:v>60103909</x:v>
      </x:c>
      <x:c r="C275" s="7" t="str">
        <x:v>游戏模块开始玩点击</x:v>
      </x:c>
      <x:c r="D275" s="5" t="n">
        <x:v>569</x:v>
      </x:c>
      <x:c r="E275" s="5" t="n">
        <x:v>106</x:v>
      </x:c>
      <x:c r="F275" s="6" t="n">
        <x:v>18.6</x:v>
      </x:c>
    </x:row>
    <x:row r="276">
      <x:c r="A276" s="4" t="n">
        <x:v>46212</x:v>
      </x:c>
      <x:c r="B276" s="7" t="str">
        <x:v>60103948</x:v>
      </x:c>
      <x:c r="C276" s="7" t="str">
        <x:v>家乡专区游戏点击</x:v>
      </x:c>
      <x:c r="D276" s="5" t="n">
        <x:v>569</x:v>
      </x:c>
      <x:c r="E276" s="5" t="n">
        <x:v>112</x:v>
      </x:c>
      <x:c r="F276" s="6" t="n">
        <x:v>19.7</x:v>
      </x:c>
    </x:row>
    <x:row r="277">
      <x:c r="A277" s="4" t="n">
        <x:v>46213</x:v>
      </x:c>
      <x:c r="B277" s="7" t="str">
        <x:v>60101404</x:v>
      </x:c>
      <x:c r="C277" s="7" t="str">
        <x:v>用户启动游戏</x:v>
      </x:c>
      <x:c r="D277" s="5" t="n">
        <x:v>546</x:v>
      </x:c>
      <x:c r="E277" s="5" t="n">
        <x:v>375</x:v>
      </x:c>
      <x:c r="F277" s="6" t="n">
        <x:v>68.7</x:v>
      </x:c>
    </x:row>
    <x:row r="278">
      <x:c r="A278" s="4" t="n">
        <x:v>46213</x:v>
      </x:c>
      <x:c r="B278" s="7" t="str">
        <x:v>60100102</x:v>
      </x:c>
      <x:c r="C278" s="7" t="str">
        <x:v>本地热门游戏点击</x:v>
      </x:c>
      <x:c r="D278" s="5" t="n">
        <x:v>546</x:v>
      </x:c>
      <x:c r="E278" s="5" t="n">
        <x:v>81</x:v>
      </x:c>
      <x:c r="F278" s="6" t="n">
        <x:v>14.8</x:v>
      </x:c>
    </x:row>
    <x:row r="279">
      <x:c r="A279" s="4" t="n">
        <x:v>46213</x:v>
      </x:c>
      <x:c r="B279" s="7" t="str">
        <x:v>60100103</x:v>
      </x:c>
      <x:c r="C279" s="7" t="str">
        <x:v>推荐列表游戏点击</x:v>
      </x:c>
      <x:c r="D279" s="5" t="n">
        <x:v>546</x:v>
      </x:c>
      <x:c r="E279" s="5" t="n">
        <x:v>5</x:v>
      </x:c>
      <x:c r="F279" s="6" t="n">
        <x:v>0.9</x:v>
      </x:c>
    </x:row>
    <x:row r="280">
      <x:c r="A280" s="4" t="n">
        <x:v>46213</x:v>
      </x:c>
      <x:c r="B280" s="7" t="str">
        <x:v>60100201</x:v>
      </x:c>
      <x:c r="C280" s="7" t="str">
        <x:v>首屏banner点击</x:v>
      </x:c>
      <x:c r="D280" s="5" t="n">
        <x:v>546</x:v>
      </x:c>
      <x:c r="E280" s="5" t="n">
        <x:v>3</x:v>
      </x:c>
      <x:c r="F280" s="6" t="n">
        <x:v>0.5</x:v>
      </x:c>
    </x:row>
    <x:row r="281">
      <x:c r="A281" s="4" t="n">
        <x:v>46213</x:v>
      </x:c>
      <x:c r="B281" s="7" t="str">
        <x:v>60100301</x:v>
      </x:c>
      <x:c r="C281" s="7" t="str">
        <x:v>次屏banner点击</x:v>
      </x:c>
      <x:c r="D281" s="5" t="n">
        <x:v>546</x:v>
      </x:c>
      <x:c r="E281" s="5" t="n">
        <x:v>1</x:v>
      </x:c>
      <x:c r="F281" s="6" t="n">
        <x:v>0.2</x:v>
      </x:c>
    </x:row>
    <x:row r="282">
      <x:c r="A282" s="4" t="n">
        <x:v>46213</x:v>
      </x:c>
      <x:c r="B282" s="7" t="str">
        <x:v>60100602</x:v>
      </x:c>
      <x:c r="C282" s="7" t="str">
        <x:v>活动banner点击</x:v>
      </x:c>
      <x:c r="D282" s="5" t="n">
        <x:v>546</x:v>
      </x:c>
      <x:c r="E282" s="5" t="n">
        <x:v>0</x:v>
      </x:c>
      <x:c r="F282" s="6" t="n">
        <x:v>0</x:v>
      </x:c>
    </x:row>
    <x:row r="283">
      <x:c r="A283" s="4" t="n">
        <x:v>46213</x:v>
      </x:c>
      <x:c r="B283" s="7" t="str">
        <x:v>60100402</x:v>
      </x:c>
      <x:c r="C283" s="7" t="str">
        <x:v>首屏弹窗广告点击</x:v>
      </x:c>
      <x:c r="D283" s="5" t="n">
        <x:v>546</x:v>
      </x:c>
      <x:c r="E283" s="5" t="n">
        <x:v>2</x:v>
      </x:c>
      <x:c r="F283" s="6" t="n">
        <x:v>0.4</x:v>
      </x:c>
    </x:row>
    <x:row r="284">
      <x:c r="A284" s="4" t="n">
        <x:v>46213</x:v>
      </x:c>
      <x:c r="B284" s="7" t="str">
        <x:v>60100703</x:v>
      </x:c>
      <x:c r="C284" s="7" t="str">
        <x:v>搜索游戏点击</x:v>
      </x:c>
      <x:c r="D284" s="5" t="n">
        <x:v>546</x:v>
      </x:c>
      <x:c r="E284" s="5" t="n">
        <x:v>58</x:v>
      </x:c>
      <x:c r="F284" s="6" t="n">
        <x:v>10.6</x:v>
      </x:c>
    </x:row>
    <x:row r="285">
      <x:c r="A285" s="4" t="n">
        <x:v>46213</x:v>
      </x:c>
      <x:c r="B285" s="7" t="str">
        <x:v>60102605</x:v>
      </x:c>
      <x:c r="C285" s="7" t="str">
        <x:v>页签内点击</x:v>
      </x:c>
      <x:c r="D285" s="5" t="n">
        <x:v>546</x:v>
      </x:c>
      <x:c r="E285" s="5" t="n">
        <x:v>20</x:v>
      </x:c>
      <x:c r="F285" s="6" t="n">
        <x:v>3.7</x:v>
      </x:c>
    </x:row>
    <x:row r="286">
      <x:c r="A286" s="4" t="n">
        <x:v>46213</x:v>
      </x:c>
      <x:c r="B286" s="7" t="str">
        <x:v>60103909</x:v>
      </x:c>
      <x:c r="C286" s="7" t="str">
        <x:v>游戏模块开始玩点击</x:v>
      </x:c>
      <x:c r="D286" s="5" t="n">
        <x:v>546</x:v>
      </x:c>
      <x:c r="E286" s="5" t="n">
        <x:v>124</x:v>
      </x:c>
      <x:c r="F286" s="6" t="n">
        <x:v>22.7</x:v>
      </x:c>
    </x:row>
    <x:row r="287">
      <x:c r="A287" s="4" t="n">
        <x:v>46213</x:v>
      </x:c>
      <x:c r="B287" s="7" t="str">
        <x:v>60103948</x:v>
      </x:c>
      <x:c r="C287" s="7" t="str">
        <x:v>家乡专区游戏点击</x:v>
      </x:c>
      <x:c r="D287" s="5" t="n">
        <x:v>546</x:v>
      </x:c>
      <x:c r="E287" s="5" t="n">
        <x:v>105</x:v>
      </x:c>
      <x:c r="F287" s="6" t="n">
        <x:v>19.2</x:v>
      </x:c>
    </x:row>
    <x:row r="288">
      <x:c r="A288" s="4" t="n">
        <x:v>46214</x:v>
      </x:c>
      <x:c r="B288" s="7" t="str">
        <x:v>60101404</x:v>
      </x:c>
      <x:c r="C288" s="7" t="str">
        <x:v>用户启动游戏</x:v>
      </x:c>
      <x:c r="D288" s="5" t="n">
        <x:v>670</x:v>
      </x:c>
      <x:c r="E288" s="5" t="n">
        <x:v>432</x:v>
      </x:c>
      <x:c r="F288" s="6" t="n">
        <x:v>64.5</x:v>
      </x:c>
    </x:row>
    <x:row r="289">
      <x:c r="A289" s="4" t="n">
        <x:v>46214</x:v>
      </x:c>
      <x:c r="B289" s="7" t="str">
        <x:v>60100102</x:v>
      </x:c>
      <x:c r="C289" s="7" t="str">
        <x:v>本地热门游戏点击</x:v>
      </x:c>
      <x:c r="D289" s="5" t="n">
        <x:v>670</x:v>
      </x:c>
      <x:c r="E289" s="5" t="n">
        <x:v>90</x:v>
      </x:c>
      <x:c r="F289" s="6" t="n">
        <x:v>13.4</x:v>
      </x:c>
    </x:row>
    <x:row r="290">
      <x:c r="A290" s="4" t="n">
        <x:v>46214</x:v>
      </x:c>
      <x:c r="B290" s="7" t="str">
        <x:v>60100103</x:v>
      </x:c>
      <x:c r="C290" s="7" t="str">
        <x:v>推荐列表游戏点击</x:v>
      </x:c>
      <x:c r="D290" s="5" t="n">
        <x:v>670</x:v>
      </x:c>
      <x:c r="E290" s="5" t="n">
        <x:v>10</x:v>
      </x:c>
      <x:c r="F290" s="6" t="n">
        <x:v>1.5</x:v>
      </x:c>
    </x:row>
    <x:row r="291">
      <x:c r="A291" s="4" t="n">
        <x:v>46214</x:v>
      </x:c>
      <x:c r="B291" s="7" t="str">
        <x:v>60100201</x:v>
      </x:c>
      <x:c r="C291" s="7" t="str">
        <x:v>首屏banner点击</x:v>
      </x:c>
      <x:c r="D291" s="5" t="n">
        <x:v>670</x:v>
      </x:c>
      <x:c r="E291" s="5" t="n">
        <x:v>5</x:v>
      </x:c>
      <x:c r="F291" s="6" t="n">
        <x:v>0.7</x:v>
      </x:c>
    </x:row>
    <x:row r="292">
      <x:c r="A292" s="4" t="n">
        <x:v>46214</x:v>
      </x:c>
      <x:c r="B292" s="7" t="str">
        <x:v>60100301</x:v>
      </x:c>
      <x:c r="C292" s="7" t="str">
        <x:v>次屏banner点击</x:v>
      </x:c>
      <x:c r="D292" s="5" t="n">
        <x:v>670</x:v>
      </x:c>
      <x:c r="E292" s="5" t="n">
        <x:v>0</x:v>
      </x:c>
      <x:c r="F292" s="6" t="n">
        <x:v>0</x:v>
      </x:c>
    </x:row>
    <x:row r="293">
      <x:c r="A293" s="4" t="n">
        <x:v>46214</x:v>
      </x:c>
      <x:c r="B293" s="7" t="str">
        <x:v>60100602</x:v>
      </x:c>
      <x:c r="C293" s="7" t="str">
        <x:v>活动banner点击</x:v>
      </x:c>
      <x:c r="D293" s="5" t="n">
        <x:v>670</x:v>
      </x:c>
      <x:c r="E293" s="5" t="n">
        <x:v>0</x:v>
      </x:c>
      <x:c r="F293" s="6" t="n">
        <x:v>0</x:v>
      </x:c>
    </x:row>
    <x:row r="294">
      <x:c r="A294" s="4" t="n">
        <x:v>46214</x:v>
      </x:c>
      <x:c r="B294" s="7" t="str">
        <x:v>60100402</x:v>
      </x:c>
      <x:c r="C294" s="7" t="str">
        <x:v>首屏弹窗广告点击</x:v>
      </x:c>
      <x:c r="D294" s="5" t="n">
        <x:v>670</x:v>
      </x:c>
      <x:c r="E294" s="5" t="n">
        <x:v>0</x:v>
      </x:c>
      <x:c r="F294" s="6" t="n">
        <x:v>0</x:v>
      </x:c>
    </x:row>
    <x:row r="295">
      <x:c r="A295" s="4" t="n">
        <x:v>46214</x:v>
      </x:c>
      <x:c r="B295" s="7" t="str">
        <x:v>60100703</x:v>
      </x:c>
      <x:c r="C295" s="7" t="str">
        <x:v>搜索游戏点击</x:v>
      </x:c>
      <x:c r="D295" s="5" t="n">
        <x:v>670</x:v>
      </x:c>
      <x:c r="E295" s="5" t="n">
        <x:v>105</x:v>
      </x:c>
      <x:c r="F295" s="6" t="n">
        <x:v>15.7</x:v>
      </x:c>
    </x:row>
    <x:row r="296">
      <x:c r="A296" s="4" t="n">
        <x:v>46214</x:v>
      </x:c>
      <x:c r="B296" s="7" t="str">
        <x:v>60102605</x:v>
      </x:c>
      <x:c r="C296" s="7" t="str">
        <x:v>页签内点击</x:v>
      </x:c>
      <x:c r="D296" s="5" t="n">
        <x:v>670</x:v>
      </x:c>
      <x:c r="E296" s="5" t="n">
        <x:v>35</x:v>
      </x:c>
      <x:c r="F296" s="6" t="n">
        <x:v>5.2</x:v>
      </x:c>
    </x:row>
    <x:row r="297">
      <x:c r="A297" s="4" t="n">
        <x:v>46214</x:v>
      </x:c>
      <x:c r="B297" s="7" t="str">
        <x:v>60103909</x:v>
      </x:c>
      <x:c r="C297" s="7" t="str">
        <x:v>游戏模块开始玩点击</x:v>
      </x:c>
      <x:c r="D297" s="5" t="n">
        <x:v>670</x:v>
      </x:c>
      <x:c r="E297" s="5" t="n">
        <x:v>126</x:v>
      </x:c>
      <x:c r="F297" s="6" t="n">
        <x:v>18.8</x:v>
      </x:c>
    </x:row>
    <x:row r="298">
      <x:c r="A298" s="4" t="n">
        <x:v>46214</x:v>
      </x:c>
      <x:c r="B298" s="7" t="str">
        <x:v>60103948</x:v>
      </x:c>
      <x:c r="C298" s="7" t="str">
        <x:v>家乡专区游戏点击</x:v>
      </x:c>
      <x:c r="D298" s="5" t="n">
        <x:v>670</x:v>
      </x:c>
      <x:c r="E298" s="5" t="n">
        <x:v>108</x:v>
      </x:c>
      <x:c r="F298" s="6" t="n">
        <x:v>16.1</x:v>
      </x:c>
    </x:row>
    <x:row r="299">
      <x:c r="A299" s="4" t="n">
        <x:v>46215</x:v>
      </x:c>
      <x:c r="B299" s="7" t="str">
        <x:v>60101404</x:v>
      </x:c>
      <x:c r="C299" s="7" t="str">
        <x:v>用户启动游戏</x:v>
      </x:c>
      <x:c r="D299" s="5" t="n">
        <x:v>597</x:v>
      </x:c>
      <x:c r="E299" s="5" t="n">
        <x:v>398</x:v>
      </x:c>
      <x:c r="F299" s="6" t="n">
        <x:v>66.7</x:v>
      </x:c>
    </x:row>
    <x:row r="300">
      <x:c r="A300" s="4" t="n">
        <x:v>46215</x:v>
      </x:c>
      <x:c r="B300" s="7" t="str">
        <x:v>60100102</x:v>
      </x:c>
      <x:c r="C300" s="7" t="str">
        <x:v>本地热门游戏点击</x:v>
      </x:c>
      <x:c r="D300" s="5" t="n">
        <x:v>597</x:v>
      </x:c>
      <x:c r="E300" s="5" t="n">
        <x:v>90</x:v>
      </x:c>
      <x:c r="F300" s="6" t="n">
        <x:v>15.1</x:v>
      </x:c>
    </x:row>
    <x:row r="301">
      <x:c r="A301" s="4" t="n">
        <x:v>46215</x:v>
      </x:c>
      <x:c r="B301" s="7" t="str">
        <x:v>60100103</x:v>
      </x:c>
      <x:c r="C301" s="7" t="str">
        <x:v>推荐列表游戏点击</x:v>
      </x:c>
      <x:c r="D301" s="5" t="n">
        <x:v>597</x:v>
      </x:c>
      <x:c r="E301" s="5" t="n">
        <x:v>6</x:v>
      </x:c>
      <x:c r="F301" s="6" t="n">
        <x:v>1</x:v>
      </x:c>
    </x:row>
    <x:row r="302">
      <x:c r="A302" s="4" t="n">
        <x:v>46215</x:v>
      </x:c>
      <x:c r="B302" s="7" t="str">
        <x:v>60100201</x:v>
      </x:c>
      <x:c r="C302" s="7" t="str">
        <x:v>首屏banner点击</x:v>
      </x:c>
      <x:c r="D302" s="5" t="n">
        <x:v>597</x:v>
      </x:c>
      <x:c r="E302" s="5" t="n">
        <x:v>8</x:v>
      </x:c>
      <x:c r="F302" s="6" t="n">
        <x:v>1.3</x:v>
      </x:c>
    </x:row>
    <x:row r="303">
      <x:c r="A303" s="4" t="n">
        <x:v>46215</x:v>
      </x:c>
      <x:c r="B303" s="7" t="str">
        <x:v>60100301</x:v>
      </x:c>
      <x:c r="C303" s="7" t="str">
        <x:v>次屏banner点击</x:v>
      </x:c>
      <x:c r="D303" s="5" t="n">
        <x:v>597</x:v>
      </x:c>
      <x:c r="E303" s="5" t="n">
        <x:v>2</x:v>
      </x:c>
      <x:c r="F303" s="6" t="n">
        <x:v>0.3</x:v>
      </x:c>
    </x:row>
    <x:row r="304">
      <x:c r="A304" s="4" t="n">
        <x:v>46215</x:v>
      </x:c>
      <x:c r="B304" s="7" t="str">
        <x:v>60100602</x:v>
      </x:c>
      <x:c r="C304" s="7" t="str">
        <x:v>活动banner点击</x:v>
      </x:c>
      <x:c r="D304" s="5" t="n">
        <x:v>597</x:v>
      </x:c>
      <x:c r="E304" s="5" t="n">
        <x:v>0</x:v>
      </x:c>
      <x:c r="F304" s="6" t="n">
        <x:v>0</x:v>
      </x:c>
    </x:row>
    <x:row r="305">
      <x:c r="A305" s="4" t="n">
        <x:v>46215</x:v>
      </x:c>
      <x:c r="B305" s="7" t="str">
        <x:v>60100402</x:v>
      </x:c>
      <x:c r="C305" s="7" t="str">
        <x:v>首屏弹窗广告点击</x:v>
      </x:c>
      <x:c r="D305" s="5" t="n">
        <x:v>597</x:v>
      </x:c>
      <x:c r="E305" s="5" t="n">
        <x:v>2</x:v>
      </x:c>
      <x:c r="F305" s="6" t="n">
        <x:v>0.3</x:v>
      </x:c>
    </x:row>
    <x:row r="306">
      <x:c r="A306" s="4" t="n">
        <x:v>46215</x:v>
      </x:c>
      <x:c r="B306" s="7" t="str">
        <x:v>60100703</x:v>
      </x:c>
      <x:c r="C306" s="7" t="str">
        <x:v>搜索游戏点击</x:v>
      </x:c>
      <x:c r="D306" s="5" t="n">
        <x:v>597</x:v>
      </x:c>
      <x:c r="E306" s="5" t="n">
        <x:v>64</x:v>
      </x:c>
      <x:c r="F306" s="6" t="n">
        <x:v>10.7</x:v>
      </x:c>
    </x:row>
    <x:row r="307">
      <x:c r="A307" s="4" t="n">
        <x:v>46215</x:v>
      </x:c>
      <x:c r="B307" s="7" t="str">
        <x:v>60102605</x:v>
      </x:c>
      <x:c r="C307" s="7" t="str">
        <x:v>页签内点击</x:v>
      </x:c>
      <x:c r="D307" s="5" t="n">
        <x:v>597</x:v>
      </x:c>
      <x:c r="E307" s="5" t="n">
        <x:v>23</x:v>
      </x:c>
      <x:c r="F307" s="6" t="n">
        <x:v>3.9</x:v>
      </x:c>
    </x:row>
    <x:row r="308">
      <x:c r="A308" s="4" t="n">
        <x:v>46215</x:v>
      </x:c>
      <x:c r="B308" s="7" t="str">
        <x:v>60103909</x:v>
      </x:c>
      <x:c r="C308" s="7" t="str">
        <x:v>游戏模块开始玩点击</x:v>
      </x:c>
      <x:c r="D308" s="5" t="n">
        <x:v>597</x:v>
      </x:c>
      <x:c r="E308" s="5" t="n">
        <x:v>135</x:v>
      </x:c>
      <x:c r="F308" s="6" t="n">
        <x:v>22.6</x:v>
      </x:c>
    </x:row>
    <x:row r="309">
      <x:c r="A309" s="4" t="n">
        <x:v>46215</x:v>
      </x:c>
      <x:c r="B309" s="7" t="str">
        <x:v>60103948</x:v>
      </x:c>
      <x:c r="C309" s="7" t="str">
        <x:v>家乡专区游戏点击</x:v>
      </x:c>
      <x:c r="D309" s="5" t="n">
        <x:v>597</x:v>
      </x:c>
      <x:c r="E309" s="5" t="n">
        <x:v>103</x:v>
      </x:c>
      <x:c r="F309" s="6" t="n">
        <x:v>17.3</x:v>
      </x:c>
    </x:row>
    <x:row r="310">
      <x:c r="A310" s="4" t="n">
        <x:v>46216</x:v>
      </x:c>
      <x:c r="B310" s="7" t="str">
        <x:v>60101404</x:v>
      </x:c>
      <x:c r="C310" s="7" t="str">
        <x:v>用户启动游戏</x:v>
      </x:c>
      <x:c r="D310" s="5" t="n">
        <x:v>595</x:v>
      </x:c>
      <x:c r="E310" s="5" t="n">
        <x:v>415</x:v>
      </x:c>
      <x:c r="F310" s="6" t="n">
        <x:v>69.7</x:v>
      </x:c>
    </x:row>
    <x:row r="311">
      <x:c r="A311" s="4" t="n">
        <x:v>46216</x:v>
      </x:c>
      <x:c r="B311" s="7" t="str">
        <x:v>60100102</x:v>
      </x:c>
      <x:c r="C311" s="7" t="str">
        <x:v>本地热门游戏点击</x:v>
      </x:c>
      <x:c r="D311" s="5" t="n">
        <x:v>595</x:v>
      </x:c>
      <x:c r="E311" s="5" t="n">
        <x:v>95</x:v>
      </x:c>
      <x:c r="F311" s="6" t="n">
        <x:v>16</x:v>
      </x:c>
    </x:row>
    <x:row r="312">
      <x:c r="A312" s="4" t="n">
        <x:v>46216</x:v>
      </x:c>
      <x:c r="B312" s="7" t="str">
        <x:v>60100103</x:v>
      </x:c>
      <x:c r="C312" s="7" t="str">
        <x:v>推荐列表游戏点击</x:v>
      </x:c>
      <x:c r="D312" s="5" t="n">
        <x:v>595</x:v>
      </x:c>
      <x:c r="E312" s="5" t="n">
        <x:v>5</x:v>
      </x:c>
      <x:c r="F312" s="6" t="n">
        <x:v>0.8</x:v>
      </x:c>
    </x:row>
    <x:row r="313">
      <x:c r="A313" s="4" t="n">
        <x:v>46216</x:v>
      </x:c>
      <x:c r="B313" s="7" t="str">
        <x:v>60100201</x:v>
      </x:c>
      <x:c r="C313" s="7" t="str">
        <x:v>首屏banner点击</x:v>
      </x:c>
      <x:c r="D313" s="5" t="n">
        <x:v>595</x:v>
      </x:c>
      <x:c r="E313" s="5" t="n">
        <x:v>9</x:v>
      </x:c>
      <x:c r="F313" s="6" t="n">
        <x:v>1.5</x:v>
      </x:c>
    </x:row>
    <x:row r="314">
      <x:c r="A314" s="4" t="n">
        <x:v>46216</x:v>
      </x:c>
      <x:c r="B314" s="7" t="str">
        <x:v>60100301</x:v>
      </x:c>
      <x:c r="C314" s="7" t="str">
        <x:v>次屏banner点击</x:v>
      </x:c>
      <x:c r="D314" s="5" t="n">
        <x:v>595</x:v>
      </x:c>
      <x:c r="E314" s="5" t="n">
        <x:v>1</x:v>
      </x:c>
      <x:c r="F314" s="6" t="n">
        <x:v>0.2</x:v>
      </x:c>
    </x:row>
    <x:row r="315">
      <x:c r="A315" s="4" t="n">
        <x:v>46216</x:v>
      </x:c>
      <x:c r="B315" s="7" t="str">
        <x:v>60100602</x:v>
      </x:c>
      <x:c r="C315" s="7" t="str">
        <x:v>活动banner点击</x:v>
      </x:c>
      <x:c r="D315" s="5" t="n">
        <x:v>595</x:v>
      </x:c>
      <x:c r="E315" s="5" t="n">
        <x:v>0</x:v>
      </x:c>
      <x:c r="F315" s="6" t="n">
        <x:v>0</x:v>
      </x:c>
    </x:row>
    <x:row r="316">
      <x:c r="A316" s="4" t="n">
        <x:v>46216</x:v>
      </x:c>
      <x:c r="B316" s="7" t="str">
        <x:v>60100402</x:v>
      </x:c>
      <x:c r="C316" s="7" t="str">
        <x:v>首屏弹窗广告点击</x:v>
      </x:c>
      <x:c r="D316" s="5" t="n">
        <x:v>595</x:v>
      </x:c>
      <x:c r="E316" s="5" t="n">
        <x:v>0</x:v>
      </x:c>
      <x:c r="F316" s="6" t="n">
        <x:v>0</x:v>
      </x:c>
    </x:row>
    <x:row r="317">
      <x:c r="A317" s="4" t="n">
        <x:v>46216</x:v>
      </x:c>
      <x:c r="B317" s="7" t="str">
        <x:v>60100703</x:v>
      </x:c>
      <x:c r="C317" s="7" t="str">
        <x:v>搜索游戏点击</x:v>
      </x:c>
      <x:c r="D317" s="5" t="n">
        <x:v>595</x:v>
      </x:c>
      <x:c r="E317" s="5" t="n">
        <x:v>74</x:v>
      </x:c>
      <x:c r="F317" s="6" t="n">
        <x:v>12.4</x:v>
      </x:c>
    </x:row>
    <x:row r="318">
      <x:c r="A318" s="4" t="n">
        <x:v>46216</x:v>
      </x:c>
      <x:c r="B318" s="7" t="str">
        <x:v>60102605</x:v>
      </x:c>
      <x:c r="C318" s="7" t="str">
        <x:v>页签内点击</x:v>
      </x:c>
      <x:c r="D318" s="5" t="n">
        <x:v>595</x:v>
      </x:c>
      <x:c r="E318" s="5" t="n">
        <x:v>30</x:v>
      </x:c>
      <x:c r="F318" s="6" t="n">
        <x:v>5</x:v>
      </x:c>
    </x:row>
    <x:row r="319">
      <x:c r="A319" s="4" t="n">
        <x:v>46216</x:v>
      </x:c>
      <x:c r="B319" s="7" t="str">
        <x:v>60103909</x:v>
      </x:c>
      <x:c r="C319" s="7" t="str">
        <x:v>游戏模块开始玩点击</x:v>
      </x:c>
      <x:c r="D319" s="5" t="n">
        <x:v>595</x:v>
      </x:c>
      <x:c r="E319" s="5" t="n">
        <x:v>117</x:v>
      </x:c>
      <x:c r="F319" s="6" t="n">
        <x:v>19.7</x:v>
      </x:c>
    </x:row>
    <x:row r="320">
      <x:c r="A320" s="4" t="n">
        <x:v>46216</x:v>
      </x:c>
      <x:c r="B320" s="7" t="str">
        <x:v>60103948</x:v>
      </x:c>
      <x:c r="C320" s="7" t="str">
        <x:v>家乡专区游戏点击</x:v>
      </x:c>
      <x:c r="D320" s="5" t="n">
        <x:v>595</x:v>
      </x:c>
      <x:c r="E320" s="5" t="n">
        <x:v>133</x:v>
      </x:c>
      <x:c r="F320" s="6" t="n">
        <x:v>22.4</x:v>
      </x:c>
    </x:row>
    <x:row r="321">
      <x:c r="A321" s="4" t="n">
        <x:v>46217</x:v>
      </x:c>
      <x:c r="B321" s="7" t="str">
        <x:v>60101404</x:v>
      </x:c>
      <x:c r="C321" s="7" t="str">
        <x:v>用户启动游戏</x:v>
      </x:c>
      <x:c r="D321" s="5" t="n">
        <x:v>573</x:v>
      </x:c>
      <x:c r="E321" s="5" t="n">
        <x:v>387</x:v>
      </x:c>
      <x:c r="F321" s="6" t="n">
        <x:v>67.5</x:v>
      </x:c>
    </x:row>
    <x:row r="322">
      <x:c r="A322" s="4" t="n">
        <x:v>46217</x:v>
      </x:c>
      <x:c r="B322" s="7" t="str">
        <x:v>60100102</x:v>
      </x:c>
      <x:c r="C322" s="7" t="str">
        <x:v>本地热门游戏点击</x:v>
      </x:c>
      <x:c r="D322" s="5" t="n">
        <x:v>573</x:v>
      </x:c>
      <x:c r="E322" s="5" t="n">
        <x:v>101</x:v>
      </x:c>
      <x:c r="F322" s="6" t="n">
        <x:v>17.6</x:v>
      </x:c>
    </x:row>
    <x:row r="323">
      <x:c r="A323" s="4" t="n">
        <x:v>46217</x:v>
      </x:c>
      <x:c r="B323" s="7" t="str">
        <x:v>60100103</x:v>
      </x:c>
      <x:c r="C323" s="7" t="str">
        <x:v>推荐列表游戏点击</x:v>
      </x:c>
      <x:c r="D323" s="5" t="n">
        <x:v>573</x:v>
      </x:c>
      <x:c r="E323" s="5" t="n">
        <x:v>6</x:v>
      </x:c>
      <x:c r="F323" s="6" t="n">
        <x:v>1</x:v>
      </x:c>
    </x:row>
    <x:row r="324">
      <x:c r="A324" s="4" t="n">
        <x:v>46217</x:v>
      </x:c>
      <x:c r="B324" s="7" t="str">
        <x:v>60100201</x:v>
      </x:c>
      <x:c r="C324" s="7" t="str">
        <x:v>首屏banner点击</x:v>
      </x:c>
      <x:c r="D324" s="5" t="n">
        <x:v>573</x:v>
      </x:c>
      <x:c r="E324" s="5" t="n">
        <x:v>4</x:v>
      </x:c>
      <x:c r="F324" s="6" t="n">
        <x:v>0.7</x:v>
      </x:c>
    </x:row>
    <x:row r="325">
      <x:c r="A325" s="4" t="n">
        <x:v>46217</x:v>
      </x:c>
      <x:c r="B325" s="7" t="str">
        <x:v>60100301</x:v>
      </x:c>
      <x:c r="C325" s="7" t="str">
        <x:v>次屏banner点击</x:v>
      </x:c>
      <x:c r="D325" s="5" t="n">
        <x:v>573</x:v>
      </x:c>
      <x:c r="E325" s="5" t="n">
        <x:v>0</x:v>
      </x:c>
      <x:c r="F325" s="6" t="n">
        <x:v>0</x:v>
      </x:c>
    </x:row>
    <x:row r="326">
      <x:c r="A326" s="4" t="n">
        <x:v>46217</x:v>
      </x:c>
      <x:c r="B326" s="7" t="str">
        <x:v>60100602</x:v>
      </x:c>
      <x:c r="C326" s="7" t="str">
        <x:v>活动banner点击</x:v>
      </x:c>
      <x:c r="D326" s="5" t="n">
        <x:v>573</x:v>
      </x:c>
      <x:c r="E326" s="5" t="n">
        <x:v>0</x:v>
      </x:c>
      <x:c r="F326" s="6" t="n">
        <x:v>0</x:v>
      </x:c>
    </x:row>
    <x:row r="327">
      <x:c r="A327" s="4" t="n">
        <x:v>46217</x:v>
      </x:c>
      <x:c r="B327" s="7" t="str">
        <x:v>60100402</x:v>
      </x:c>
      <x:c r="C327" s="7" t="str">
        <x:v>首屏弹窗广告点击</x:v>
      </x:c>
      <x:c r="D327" s="5" t="n">
        <x:v>573</x:v>
      </x:c>
      <x:c r="E327" s="5" t="n">
        <x:v>0</x:v>
      </x:c>
      <x:c r="F327" s="6" t="n">
        <x:v>0</x:v>
      </x:c>
    </x:row>
    <x:row r="328">
      <x:c r="A328" s="4" t="n">
        <x:v>46217</x:v>
      </x:c>
      <x:c r="B328" s="7" t="str">
        <x:v>60100703</x:v>
      </x:c>
      <x:c r="C328" s="7" t="str">
        <x:v>搜索游戏点击</x:v>
      </x:c>
      <x:c r="D328" s="5" t="n">
        <x:v>573</x:v>
      </x:c>
      <x:c r="E328" s="5" t="n">
        <x:v>74</x:v>
      </x:c>
      <x:c r="F328" s="6" t="n">
        <x:v>12.9</x:v>
      </x:c>
    </x:row>
    <x:row r="329">
      <x:c r="A329" s="4" t="n">
        <x:v>46217</x:v>
      </x:c>
      <x:c r="B329" s="7" t="str">
        <x:v>60102605</x:v>
      </x:c>
      <x:c r="C329" s="7" t="str">
        <x:v>页签内点击</x:v>
      </x:c>
      <x:c r="D329" s="5" t="n">
        <x:v>573</x:v>
      </x:c>
      <x:c r="E329" s="5" t="n">
        <x:v>32</x:v>
      </x:c>
      <x:c r="F329" s="6" t="n">
        <x:v>5.6</x:v>
      </x:c>
    </x:row>
    <x:row r="330">
      <x:c r="A330" s="4" t="n">
        <x:v>46217</x:v>
      </x:c>
      <x:c r="B330" s="7" t="str">
        <x:v>60103909</x:v>
      </x:c>
      <x:c r="C330" s="7" t="str">
        <x:v>游戏模块开始玩点击</x:v>
      </x:c>
      <x:c r="D330" s="5" t="n">
        <x:v>573</x:v>
      </x:c>
      <x:c r="E330" s="5" t="n">
        <x:v>97</x:v>
      </x:c>
      <x:c r="F330" s="6" t="n">
        <x:v>16.9</x:v>
      </x:c>
    </x:row>
    <x:row r="331">
      <x:c r="A331" s="4" t="n">
        <x:v>46217</x:v>
      </x:c>
      <x:c r="B331" s="7" t="str">
        <x:v>60103948</x:v>
      </x:c>
      <x:c r="C331" s="7" t="str">
        <x:v>家乡专区游戏点击</x:v>
      </x:c>
      <x:c r="D331" s="5" t="n">
        <x:v>573</x:v>
      </x:c>
      <x:c r="E331" s="5" t="n">
        <x:v>108</x:v>
      </x:c>
      <x:c r="F331" s="6" t="n">
        <x:v>18.8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0" hidden="0" customWidth="1"/>
  </x:cols>
  <x:sheetData>
    <x:row r="1">
      <x:c r="A1" s="275" t="str">
        <x:v>项目</x:v>
      </x:c>
      <x:c r="B1" s="275" t="str">
        <x:v>说明</x:v>
      </x:c>
    </x:row>
    <x:row r="2">
      <x:c r="A2" s="276" t="str">
        <x:v>核心KPI</x:v>
      </x:c>
      <x:c r="B2" s="277" t="str">
        <x:v>纯新用户启动游戏占比 = 当日启动游戏的纯新增用户UV / 当日新增用户UV</x:v>
      </x:c>
    </x:row>
    <x:row r="3">
      <x:c r="A3" s="276" t="str">
        <x:v>优化分期</x:v>
      </x:c>
      <x:c r="B3" s="277" t="str">
        <x:v>优化前：2026/07/01–07/07；优化后：2026/07/08–07/14</x:v>
      </x:c>
    </x:row>
    <x:row r="4">
      <x:c r="A4" s="276" t="str">
        <x:v>模块归因</x:v>
      </x:c>
      <x:c r="B4" s="277" t="str">
        <x:v>模块点击UV可用于判断与KPI同向或反向变化的模块；不同事件用户可重叠，不将模块变化直接表述为严格因果。</x:v>
      </x:c>
    </x:row>
    <x:row r="5">
      <x:c r="A5" s="276" t="str">
        <x:v>活动Banner</x:v>
      </x:c>
      <x:c r="B5" s="277" t="str">
        <x:v>临时、按需投放；单列为投放环境变量，不纳入本地热门改版效果。</x:v>
      </x:c>
    </x:row>
    <x:row r="6">
      <x:c r="A6" s="276" t="str">
        <x:v>数据来源</x:v>
      </x:c>
      <x:c r="B6" s="277" t="str">
        <x:v>安卓新增用户全点击_20260715.xlsx</x:v>
      </x:c>
    </x:row>
  </x:sheetData>
  <x:pageMargins left="0.7" right="0.7" top="0.75" bottom="0.75" header="0.3" footer="0.3"/>
</x:worksheet>
</file>